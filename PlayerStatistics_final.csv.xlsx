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yanj\Downloads\NBAAnalysis\"/>
    </mc:Choice>
  </mc:AlternateContent>
  <xr:revisionPtr revIDLastSave="0" documentId="13_ncr:9_{F0C6013E-5269-4056-B0D0-B826A8ECA88C}" xr6:coauthVersionLast="47" xr6:coauthVersionMax="47" xr10:uidLastSave="{00000000-0000-0000-0000-000000000000}"/>
  <bookViews>
    <workbookView xWindow="-110" yWindow="-110" windowWidth="25820" windowHeight="15500" xr2:uid="{62BBBD14-BDA0-42CE-8491-90B7C01D5D89}"/>
  </bookViews>
  <sheets>
    <sheet name="PlayerStatistics_final" sheetId="1" r:id="rId1"/>
  </sheets>
  <calcPr calcId="0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2" i="1"/>
  <c r="O2" i="1"/>
</calcChain>
</file>

<file path=xl/sharedStrings.xml><?xml version="1.0" encoding="utf-8"?>
<sst xmlns="http://schemas.openxmlformats.org/spreadsheetml/2006/main" count="376" uniqueCount="374">
  <si>
    <t>Player Name</t>
  </si>
  <si>
    <t>Points</t>
  </si>
  <si>
    <t>Rebounds</t>
  </si>
  <si>
    <t>Assists</t>
  </si>
  <si>
    <t>Turnovers</t>
  </si>
  <si>
    <t>Blocks</t>
  </si>
  <si>
    <t>Steals</t>
  </si>
  <si>
    <t>Games_Played</t>
  </si>
  <si>
    <t>value_score</t>
  </si>
  <si>
    <t>2022/2023</t>
  </si>
  <si>
    <t>avg_salary</t>
  </si>
  <si>
    <t>predicted_salary</t>
  </si>
  <si>
    <t>salary_difference</t>
  </si>
  <si>
    <t>AJ Green</t>
  </si>
  <si>
    <t>Aaron Gordon</t>
  </si>
  <si>
    <t>Aaron Holiday</t>
  </si>
  <si>
    <t>Aaron Nesmith</t>
  </si>
  <si>
    <t>Aaron Wiggins</t>
  </si>
  <si>
    <t>Al Horford</t>
  </si>
  <si>
    <t>Alec Burks</t>
  </si>
  <si>
    <t>Alex Caruso</t>
  </si>
  <si>
    <t>Alex Len</t>
  </si>
  <si>
    <t>Alperen Sengun</t>
  </si>
  <si>
    <t>Amir Coffey</t>
  </si>
  <si>
    <t>Andre Drummond</t>
  </si>
  <si>
    <t>Andrew Nembhard</t>
  </si>
  <si>
    <t>Andrew Wiggins</t>
  </si>
  <si>
    <t>Anfernee Simons</t>
  </si>
  <si>
    <t>Anthony Davis</t>
  </si>
  <si>
    <t>Anthony Edwards</t>
  </si>
  <si>
    <t>Anthony Gill</t>
  </si>
  <si>
    <t>Austin Reaves</t>
  </si>
  <si>
    <t>Ayo Dosunmu</t>
  </si>
  <si>
    <t>Bam Adebayo</t>
  </si>
  <si>
    <t>Ben Simmons</t>
  </si>
  <si>
    <t>Bennedict Mathurin</t>
  </si>
  <si>
    <t>Bismack Biyombo</t>
  </si>
  <si>
    <t>Blake Wesley</t>
  </si>
  <si>
    <t>Bobby Portis</t>
  </si>
  <si>
    <t>Bogdan Bogdanovic</t>
  </si>
  <si>
    <t>Bol Bol</t>
  </si>
  <si>
    <t>Bones Hyland</t>
  </si>
  <si>
    <t>Bradley Beal</t>
  </si>
  <si>
    <t>Brandon Clarke</t>
  </si>
  <si>
    <t>Brandon Ingram</t>
  </si>
  <si>
    <t>Braxton Key</t>
  </si>
  <si>
    <t>Brook Lopez</t>
  </si>
  <si>
    <t>Bruce Brown</t>
  </si>
  <si>
    <t>Bryce McGowens</t>
  </si>
  <si>
    <t>Buddy Hield</t>
  </si>
  <si>
    <t>CJ McCollum</t>
  </si>
  <si>
    <t>Cade Cunningham</t>
  </si>
  <si>
    <t>Caleb Houstan</t>
  </si>
  <si>
    <t>Caleb Martin</t>
  </si>
  <si>
    <t>Cam Thomas</t>
  </si>
  <si>
    <t>Cameron Johnson</t>
  </si>
  <si>
    <t>Cameron Payne</t>
  </si>
  <si>
    <t>Caris LeVert</t>
  </si>
  <si>
    <t>Charles Bassey</t>
  </si>
  <si>
    <t>Chet Holmgren</t>
  </si>
  <si>
    <t>Chris Boucher</t>
  </si>
  <si>
    <t>Chris Paul</t>
  </si>
  <si>
    <t>Christian Braun</t>
  </si>
  <si>
    <t>Christian Koloko</t>
  </si>
  <si>
    <t>Chuma Okeke</t>
  </si>
  <si>
    <t>Clint Capela</t>
  </si>
  <si>
    <t>Coby White</t>
  </si>
  <si>
    <t>Cody Martin</t>
  </si>
  <si>
    <t>Cole Anthony</t>
  </si>
  <si>
    <t>Collin Gillespie</t>
  </si>
  <si>
    <t>Collin Sexton</t>
  </si>
  <si>
    <t>Corey Kispert</t>
  </si>
  <si>
    <t>Cory Joseph</t>
  </si>
  <si>
    <t>D'Angelo Russell</t>
  </si>
  <si>
    <t>DaQuan Jeffries</t>
  </si>
  <si>
    <t>Dalano Banton</t>
  </si>
  <si>
    <t>Dalen Terry</t>
  </si>
  <si>
    <t>Damian Lillard</t>
  </si>
  <si>
    <t>Damion Lee</t>
  </si>
  <si>
    <t>Daniel Gafford</t>
  </si>
  <si>
    <t>Dario Saric</t>
  </si>
  <si>
    <t>Darius Garland</t>
  </si>
  <si>
    <t>David Roddy</t>
  </si>
  <si>
    <t>Davion Mitchell</t>
  </si>
  <si>
    <t>Day'Ron Sharpe</t>
  </si>
  <si>
    <t>De'Aaron Fox</t>
  </si>
  <si>
    <t>De'Andre Hunter</t>
  </si>
  <si>
    <t>De'Anthony Melton</t>
  </si>
  <si>
    <t>DeAndre Jordan</t>
  </si>
  <si>
    <t>DeMar DeRozan</t>
  </si>
  <si>
    <t>Dean Wade</t>
  </si>
  <si>
    <t>Deandre Ayton</t>
  </si>
  <si>
    <t>Dejounte Murray</t>
  </si>
  <si>
    <t>Delon Wright</t>
  </si>
  <si>
    <t>Deni Avdija</t>
  </si>
  <si>
    <t>Derrick White</t>
  </si>
  <si>
    <t>Desmond Bane</t>
  </si>
  <si>
    <t>Devin Booker</t>
  </si>
  <si>
    <t>Devin Vassell</t>
  </si>
  <si>
    <t>Dillon Brooks</t>
  </si>
  <si>
    <t>Domantas Sabonis</t>
  </si>
  <si>
    <t>Dominick Barlow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</si>
  <si>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</si>
  <si>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</si>
  <si>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</si>
  <si>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</si>
  <si>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</si>
  <si>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</si>
  <si>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Dru Smith</t>
  </si>
  <si>
    <t>Duncan Robinson</t>
  </si>
  <si>
    <t>Dwight Powell</t>
  </si>
  <si>
    <t>Dyson Daniels</t>
  </si>
  <si>
    <t>Eric Gordon</t>
  </si>
  <si>
    <t>Evan Mobley</t>
  </si>
  <si>
    <t>Franz Wagner</t>
  </si>
  <si>
    <t>Fred VanVleet</t>
  </si>
  <si>
    <t>Gabe Vincent</t>
  </si>
  <si>
    <t>Garrett Temple</t>
  </si>
  <si>
    <t>Garrison Mathews</t>
  </si>
  <si>
    <t>Gary Harris</t>
  </si>
  <si>
    <t>Gary Payton II</t>
  </si>
  <si>
    <t>Georges Niang</t>
  </si>
  <si>
    <t>Giannis Antetokounmpo</t>
  </si>
  <si>
    <t>Goga Bitadze</t>
  </si>
  <si>
    <t>Grant Williams</t>
  </si>
  <si>
    <t>Grayson Allen</t>
  </si>
  <si>
    <t>Harrison Barnes</t>
  </si>
  <si>
    <t>Haywood Highsmith</t>
  </si>
  <si>
    <t>Immanuel Quickley</t>
  </si>
  <si>
    <t>Isaac Okoro</t>
  </si>
  <si>
    <t>Isaiah Hartenstein</t>
  </si>
  <si>
    <t>Isaiah Jackson</t>
  </si>
  <si>
    <t>Isaiah Joe</t>
  </si>
  <si>
    <t>Isaiah Stewart</t>
  </si>
  <si>
    <t>Ivica Zubac</t>
  </si>
  <si>
    <t>JD Davison</t>
  </si>
  <si>
    <t>JT Thor</t>
  </si>
  <si>
    <t>Ja Morant</t>
  </si>
  <si>
    <t>Jabari Walker</t>
  </si>
  <si>
    <t>Jaden Hardy</t>
  </si>
  <si>
    <t>Jaden Ivey</t>
  </si>
  <si>
    <t>Jaden McDaniels</t>
  </si>
  <si>
    <t>Jaden Springer</t>
  </si>
  <si>
    <t>Jae Crowder</t>
  </si>
  <si>
    <t>Jae'Sean Tate</t>
  </si>
  <si>
    <t>Jake LaRavia</t>
  </si>
  <si>
    <t>Jakob Poeltl</t>
  </si>
  <si>
    <t>Jalen Brunson</t>
  </si>
  <si>
    <t>Jalen Duren</t>
  </si>
  <si>
    <t>Jalen Green</t>
  </si>
  <si>
    <t>Jalen Johnson</t>
  </si>
  <si>
    <t>Jalen Smith</t>
  </si>
  <si>
    <t>Jalen Suggs</t>
  </si>
  <si>
    <t>Jalen Williams</t>
  </si>
  <si>
    <t>Jamal Cain</t>
  </si>
  <si>
    <t>Jamal Murray</t>
  </si>
  <si>
    <t>Jamaree Bouyea</t>
  </si>
  <si>
    <t>James Harden</t>
  </si>
  <si>
    <t>James Johnson</t>
  </si>
  <si>
    <t>Jared Butler</t>
  </si>
  <si>
    <t>Jared Rhoden</t>
  </si>
  <si>
    <t>Jarred Vanderbilt</t>
  </si>
  <si>
    <t>Jarrett Allen</t>
  </si>
  <si>
    <t>Javonte Green</t>
  </si>
  <si>
    <t>Jaxson Hayes</t>
  </si>
  <si>
    <t>Jay Huff</t>
  </si>
  <si>
    <t>Jaylen Brown</t>
  </si>
  <si>
    <t>Jaylin Williams</t>
  </si>
  <si>
    <t>Jayson Tatum</t>
  </si>
  <si>
    <t>Jeff Green</t>
  </si>
  <si>
    <t>Jerami Grant</t>
  </si>
  <si>
    <t>Jeremiah Robinson-Earl</t>
  </si>
  <si>
    <t>Jeremy Sochan</t>
  </si>
  <si>
    <t>Jericho Sims</t>
  </si>
  <si>
    <t>Jevon Carter</t>
  </si>
  <si>
    <t>Jock Landale</t>
  </si>
  <si>
    <t>Joe Ingles</t>
  </si>
  <si>
    <t>Joel Embiid</t>
  </si>
  <si>
    <t>John Collins</t>
  </si>
  <si>
    <t>John Konchar</t>
  </si>
  <si>
    <t>Johnny Juzang</t>
  </si>
  <si>
    <t>Jonas Valanciunas</t>
  </si>
  <si>
    <t>Jonathan Isaac</t>
  </si>
  <si>
    <t>Jonathan Kuminga</t>
  </si>
  <si>
    <t>Jordan Clarkson</t>
  </si>
  <si>
    <t>Jordan Goodwin</t>
  </si>
  <si>
    <t>Jordan McLaughlin</t>
  </si>
  <si>
    <t>Jordan Poole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</si>
  <si>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</si>
  <si>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</si>
  <si>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</si>
  <si>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</si>
  <si>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</si>
  <si>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</si>
  <si>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</si>
  <si>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Jrue Holiday</t>
  </si>
  <si>
    <t>Julian Champagnie</t>
  </si>
  <si>
    <t>Julius Randle</t>
  </si>
  <si>
    <t>Justin Champagnie</t>
  </si>
  <si>
    <t>Justin Minaya</t>
  </si>
  <si>
    <t>Jusuf Nurkic</t>
  </si>
  <si>
    <t>Kai Jones</t>
  </si>
  <si>
    <t>Karl-Anthony Towns</t>
  </si>
  <si>
    <t>Kawhi Leonard</t>
  </si>
  <si>
    <t>Keaton Wallace</t>
  </si>
  <si>
    <t>Keegan Murray</t>
  </si>
  <si>
    <t>Keldon Johnson</t>
  </si>
  <si>
    <t>Kelly Olynyk</t>
  </si>
  <si>
    <t>Kenrich Williams</t>
  </si>
  <si>
    <t>Kentavious Caldwell-Pope</t>
  </si>
  <si>
    <t>Keon Ellis</t>
  </si>
  <si>
    <t>Keon Johnson</t>
  </si>
  <si>
    <t>Kessler Edwards</t>
  </si>
  <si>
    <t>Kevin Durant</t>
  </si>
  <si>
    <t>Kevin Huerter</t>
  </si>
  <si>
    <t>Kevin Love</t>
  </si>
  <si>
    <t>Kevon Looney</t>
  </si>
  <si>
    <t>Khris Middleton</t>
  </si>
  <si>
    <t>Klay Thompson</t>
  </si>
  <si>
    <t>Kris Dunn</t>
  </si>
  <si>
    <t>Kristaps Porzingis</t>
  </si>
  <si>
    <t>Kyle Anderson</t>
  </si>
  <si>
    <t>Kyle Kuzma</t>
  </si>
  <si>
    <t>Kyle Lowry</t>
  </si>
  <si>
    <t>Kyrie Irving</t>
  </si>
  <si>
    <t>LaMelo Ball</t>
  </si>
  <si>
    <t>Lamar Stevens</t>
  </si>
  <si>
    <t>Landry Shamet</t>
  </si>
  <si>
    <t>Lauri Markkanen</t>
  </si>
  <si>
    <t>LeBron James</t>
  </si>
  <si>
    <t>Lester Quinones</t>
  </si>
  <si>
    <t>Lindy Waters III</t>
  </si>
  <si>
    <t>Lonzo Ball</t>
  </si>
  <si>
    <t>Luguentz Dort</t>
  </si>
  <si>
    <t>Luka Doncic</t>
  </si>
  <si>
    <t>Luka Garza</t>
  </si>
  <si>
    <t>Luke Kennard</t>
  </si>
  <si>
    <t>Luke Kornet</t>
  </si>
  <si>
    <t>Mac McClung</t>
  </si>
  <si>
    <t>Malaki Branham</t>
  </si>
  <si>
    <t>Malcolm Brogdon</t>
  </si>
  <si>
    <t>Malik Beasley</t>
  </si>
  <si>
    <t>Malik Monk</t>
  </si>
  <si>
    <t>MarJon Beauchamp</t>
  </si>
  <si>
    <t>Marcus Smart</t>
  </si>
  <si>
    <t>Mark Williams</t>
  </si>
  <si>
    <t>Markelle Fultz</t>
  </si>
  <si>
    <t>Markieff Morris</t>
  </si>
  <si>
    <t>Mason Plumlee</t>
  </si>
  <si>
    <t>Matisse Thybulle</t>
  </si>
  <si>
    <t>Max Christie</t>
  </si>
  <si>
    <t>Max Strus</t>
  </si>
  <si>
    <t>Maxi Kleber</t>
  </si>
  <si>
    <t>Micah Potter</t>
  </si>
  <si>
    <t>Mikal Bridges</t>
  </si>
  <si>
    <t>Mike Conley</t>
  </si>
  <si>
    <t>Miles McBride</t>
  </si>
  <si>
    <t>Mitchell Robinson</t>
  </si>
  <si>
    <t>Monte Morris</t>
  </si>
  <si>
    <t>Moritz Wagner</t>
  </si>
  <si>
    <t>Moses Moody</t>
  </si>
  <si>
    <t>Moussa Diabate</t>
  </si>
  <si>
    <t>Myles Turner</t>
  </si>
  <si>
    <t>Naji Marshall</t>
  </si>
  <si>
    <t>Naz Reid</t>
  </si>
  <si>
    <t>Neemias Queta</t>
  </si>
  <si>
    <t>Nick Richards</t>
  </si>
  <si>
    <t>Nickeil Alexander-Walker</t>
  </si>
  <si>
    <t>Nicolas Batum</t>
  </si>
  <si>
    <t>Nikola Jokic</t>
  </si>
  <si>
    <t>Nikola Jovic</t>
  </si>
  <si>
    <t>Nikola Vucevic</t>
  </si>
  <si>
    <t>Norman Powell</t>
  </si>
  <si>
    <t>OG Anunoby</t>
  </si>
  <si>
    <t>Obi Toppin</t>
  </si>
  <si>
    <t>Ochai Agbaji</t>
  </si>
  <si>
    <t>Onyeka Okongwu</t>
  </si>
  <si>
    <t>Ousmane Dieng</t>
  </si>
  <si>
    <t>Paolo Banchero</t>
  </si>
  <si>
    <t>Pascal Siakam</t>
  </si>
  <si>
    <t>Pat Connaughton</t>
  </si>
  <si>
    <t>Patrick Williams</t>
  </si>
  <si>
    <t>Paul George</t>
  </si>
  <si>
    <t>Paul Reed</t>
  </si>
  <si>
    <t>Payton Pritchard</t>
  </si>
  <si>
    <t>Peyton Watson</t>
  </si>
  <si>
    <t>Precious Achiuwa</t>
  </si>
  <si>
    <t>Quentin Grimes</t>
  </si>
  <si>
    <t>Quenton Jackson</t>
  </si>
  <si>
    <t>RJ Barrett</t>
  </si>
  <si>
    <t>Richaun Holmes</t>
  </si>
  <si>
    <t>Royce O'Neale</t>
  </si>
  <si>
    <t>Rudy Gobert</t>
  </si>
  <si>
    <t>Rui Hachimura</t>
  </si>
  <si>
    <t>Russell Westbrook</t>
  </si>
  <si>
    <t>Ryan Rollins</t>
  </si>
  <si>
    <t>Saddiq Bey</t>
  </si>
  <si>
    <t>Sam Hauser</t>
  </si>
  <si>
    <t>Sam Merrill</t>
  </si>
  <si>
    <t>Sandro Mamukelashvili</t>
  </si>
  <si>
    <t>Scottie Barnes</t>
  </si>
  <si>
    <t>Seth Curry</t>
  </si>
  <si>
    <t>Shaedon Sharpe</t>
  </si>
  <si>
    <t>Shai Gilgeous-Alexander</t>
  </si>
  <si>
    <t>Shake Milton</t>
  </si>
  <si>
    <t>Simone Fontecchio</t>
  </si>
  <si>
    <t>Spencer Dinwiddie</t>
  </si>
  <si>
    <t>Stanley Umude</t>
  </si>
  <si>
    <t>Stephen Curry</t>
  </si>
  <si>
    <t>Steven Adams</t>
  </si>
  <si>
    <t>Taj Gibson</t>
  </si>
  <si>
    <t>Talen Horton-Tucker</t>
  </si>
  <si>
    <t>Tari Eason</t>
  </si>
  <si>
    <t>Taurean Prince</t>
  </si>
  <si>
    <t>Terance Mann</t>
  </si>
  <si>
    <t>Terence Davis</t>
  </si>
  <si>
    <t>Terry Rozier</t>
  </si>
  <si>
    <t>Thomas Bryant</t>
  </si>
  <si>
    <t>Tobias Harris</t>
  </si>
  <si>
    <t>Tony Bradley</t>
  </si>
  <si>
    <t>Torrey Craig</t>
  </si>
  <si>
    <t>Trae Young</t>
  </si>
  <si>
    <t>Tre Jones</t>
  </si>
  <si>
    <t>Tre Mann</t>
  </si>
  <si>
    <t>Trendon Watford</t>
  </si>
  <si>
    <t>Trevelin Queen</t>
  </si>
  <si>
    <t>Trey Lyles</t>
  </si>
  <si>
    <t>Tristan Thompson</t>
  </si>
  <si>
    <t>Ty Jerome</t>
  </si>
  <si>
    <t>Tyler Herro</t>
  </si>
  <si>
    <t>Tyrese Haliburton</t>
  </si>
  <si>
    <t>Tyrese Martin</t>
  </si>
  <si>
    <t>Tyrese Maxey</t>
  </si>
  <si>
    <t>Tyus Jones</t>
  </si>
  <si>
    <t>Vit Krejci</t>
  </si>
  <si>
    <t>Vlatko Cancar</t>
  </si>
  <si>
    <t>Walker Kessler</t>
  </si>
  <si>
    <t>Xavier Tillman</t>
  </si>
  <si>
    <t>Zach Collins</t>
  </si>
  <si>
    <t>Zach LaVine</t>
  </si>
  <si>
    <t>Zeke Nnaji</t>
  </si>
  <si>
    <t>Ziaire Williams</t>
  </si>
  <si>
    <t>Zion Williamson</t>
  </si>
  <si>
    <t>R Squared</t>
  </si>
  <si>
    <t>Slope</t>
  </si>
  <si>
    <t>Intercept</t>
  </si>
  <si>
    <t>Residual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</si>
  <si>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</si>
  <si>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</si>
  <si>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</si>
  <si>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</si>
  <si>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</si>
  <si>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</si>
  <si>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</si>
  <si>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</si>
  <si>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</si>
  <si>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</si>
  <si>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</si>
  <si>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</si>
  <si>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</si>
  <si>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</si>
  <si>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</si>
  <si>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</si>
  <si>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</si>
  <si>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</si>
  <si>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</si>
  <si>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</si>
  <si>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</si>
  <si>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</si>
  <si>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</si>
  <si>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</si>
  <si>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756881</t>
  </si>
  <si>
    <t>Residuals</t>
  </si>
  <si>
    <t>Standard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</si>
</sst>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6.85996376811594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PlayerStatistics_final!$I$3:$I$331</c:f>
              <c:numCache>
                <c:formatCode>General</c:formatCode>
                <c:ptCount val="329"/>
                <c:pt idx="0">
                  <c:v>17.426324503311299</c:v>
                </c:pt>
                <c:pt idx="1">
                  <c:v>6.6697885196374598</c:v>
                </c:pt>
                <c:pt idx="2">
                  <c:v>9.5794736842105301</c:v>
                </c:pt>
                <c:pt idx="3">
                  <c:v>9.8300248138957809</c:v>
                </c:pt>
                <c:pt idx="4">
                  <c:v>19.0151485148515</c:v>
                </c:pt>
                <c:pt idx="5">
                  <c:v>11.0379207920792</c:v>
                </c:pt>
                <c:pt idx="6">
                  <c:v>10.5410169491525</c:v>
                </c:pt>
                <c:pt idx="7">
                  <c:v>8.2125255623721891</c:v>
                </c:pt>
                <c:pt idx="8">
                  <c:v>23.88</c:v>
                </c:pt>
                <c:pt idx="9">
                  <c:v>5.7274606299212598</c:v>
                </c:pt>
                <c:pt idx="10">
                  <c:v>20.0803181818182</c:v>
                </c:pt>
                <c:pt idx="11">
                  <c:v>14.6348765432099</c:v>
                </c:pt>
                <c:pt idx="12">
                  <c:v>19.214677930306198</c:v>
                </c:pt>
                <c:pt idx="13">
                  <c:v>13.7845588235294</c:v>
                </c:pt>
                <c:pt idx="14">
                  <c:v>27.968934348239799</c:v>
                </c:pt>
                <c:pt idx="15">
                  <c:v>26.887676767676801</c:v>
                </c:pt>
                <c:pt idx="16">
                  <c:v>2.66703296703297</c:v>
                </c:pt>
                <c:pt idx="17">
                  <c:v>17.951190476190501</c:v>
                </c:pt>
                <c:pt idx="18">
                  <c:v>13.796666666666701</c:v>
                </c:pt>
                <c:pt idx="19">
                  <c:v>21.864193548387099</c:v>
                </c:pt>
                <c:pt idx="20">
                  <c:v>22.2808441558442</c:v>
                </c:pt>
                <c:pt idx="21">
                  <c:v>16.559574468085099</c:v>
                </c:pt>
                <c:pt idx="22">
                  <c:v>8.5891020052310392</c:v>
                </c:pt>
                <c:pt idx="23">
                  <c:v>5.5945147679324903</c:v>
                </c:pt>
                <c:pt idx="24">
                  <c:v>15.023903002309501</c:v>
                </c:pt>
                <c:pt idx="25">
                  <c:v>15.604815409309801</c:v>
                </c:pt>
                <c:pt idx="26">
                  <c:v>5.1236842105263198</c:v>
                </c:pt>
                <c:pt idx="27">
                  <c:v>8.1096816976127304</c:v>
                </c:pt>
                <c:pt idx="28">
                  <c:v>22.374921630094001</c:v>
                </c:pt>
                <c:pt idx="29">
                  <c:v>12.9552835051546</c:v>
                </c:pt>
                <c:pt idx="30">
                  <c:v>21.3405616224649</c:v>
                </c:pt>
                <c:pt idx="31">
                  <c:v>2.5692982456140401</c:v>
                </c:pt>
                <c:pt idx="32">
                  <c:v>18.464606328182501</c:v>
                </c:pt>
                <c:pt idx="33">
                  <c:v>12.2551554828151</c:v>
                </c:pt>
                <c:pt idx="34">
                  <c:v>4.4760964912280699</c:v>
                </c:pt>
                <c:pt idx="35">
                  <c:v>16.583932853716998</c:v>
                </c:pt>
                <c:pt idx="36">
                  <c:v>20.1592156862745</c:v>
                </c:pt>
                <c:pt idx="37">
                  <c:v>25.566721311475401</c:v>
                </c:pt>
                <c:pt idx="38">
                  <c:v>3.3681338028168999</c:v>
                </c:pt>
                <c:pt idx="39">
                  <c:v>9.6225708502024307</c:v>
                </c:pt>
                <c:pt idx="40">
                  <c:v>11.9349397590361</c:v>
                </c:pt>
                <c:pt idx="41">
                  <c:v>13.7130620985011</c:v>
                </c:pt>
                <c:pt idx="42">
                  <c:v>9.0740685543964208</c:v>
                </c:pt>
                <c:pt idx="43">
                  <c:v>16.528947368421001</c:v>
                </c:pt>
                <c:pt idx="44">
                  <c:v>5.1893867924528303</c:v>
                </c:pt>
                <c:pt idx="45">
                  <c:v>21.612440191387599</c:v>
                </c:pt>
                <c:pt idx="46">
                  <c:v>9.1604651162790702</c:v>
                </c:pt>
                <c:pt idx="47">
                  <c:v>24.133352501437599</c:v>
                </c:pt>
                <c:pt idx="48">
                  <c:v>11.468923076923099</c:v>
                </c:pt>
                <c:pt idx="49">
                  <c:v>4.5813253012048198</c:v>
                </c:pt>
                <c:pt idx="50">
                  <c:v>7.1308724832214798</c:v>
                </c:pt>
                <c:pt idx="51">
                  <c:v>17.478124999999999</c:v>
                </c:pt>
                <c:pt idx="52">
                  <c:v>17.7887423935091</c:v>
                </c:pt>
                <c:pt idx="53">
                  <c:v>8.8911854103343497</c:v>
                </c:pt>
                <c:pt idx="54">
                  <c:v>14.3660046728972</c:v>
                </c:pt>
                <c:pt idx="55">
                  <c:v>9.5399999999999991</c:v>
                </c:pt>
                <c:pt idx="56">
                  <c:v>18.1829</c:v>
                </c:pt>
                <c:pt idx="57">
                  <c:v>11.568607954545501</c:v>
                </c:pt>
                <c:pt idx="58">
                  <c:v>8.7509114583333307</c:v>
                </c:pt>
                <c:pt idx="59">
                  <c:v>19.301261034047901</c:v>
                </c:pt>
                <c:pt idx="60">
                  <c:v>3.23949579831933</c:v>
                </c:pt>
                <c:pt idx="61">
                  <c:v>7.0837096774193604</c:v>
                </c:pt>
                <c:pt idx="62">
                  <c:v>4.47575757575758</c:v>
                </c:pt>
                <c:pt idx="63">
                  <c:v>26.559266055045899</c:v>
                </c:pt>
                <c:pt idx="64">
                  <c:v>7.3042462845010601</c:v>
                </c:pt>
                <c:pt idx="65">
                  <c:v>12.8938735177866</c:v>
                </c:pt>
                <c:pt idx="66">
                  <c:v>10.2036962365591</c:v>
                </c:pt>
                <c:pt idx="67">
                  <c:v>21.178059071730001</c:v>
                </c:pt>
                <c:pt idx="68">
                  <c:v>6.4894736842105303</c:v>
                </c:pt>
                <c:pt idx="69">
                  <c:v>10.6488916256158</c:v>
                </c:pt>
                <c:pt idx="70">
                  <c:v>9.3720496894409902</c:v>
                </c:pt>
                <c:pt idx="71">
                  <c:v>24.875955414012701</c:v>
                </c:pt>
                <c:pt idx="72">
                  <c:v>15.2172727272727</c:v>
                </c:pt>
                <c:pt idx="73">
                  <c:v>12.257987551867201</c:v>
                </c:pt>
                <c:pt idx="74">
                  <c:v>12.9381012658228</c:v>
                </c:pt>
                <c:pt idx="75">
                  <c:v>22.861310782240999</c:v>
                </c:pt>
                <c:pt idx="76">
                  <c:v>7.6106971153846201</c:v>
                </c:pt>
                <c:pt idx="77">
                  <c:v>19.595229982964199</c:v>
                </c:pt>
                <c:pt idx="78">
                  <c:v>20.420033388981601</c:v>
                </c:pt>
                <c:pt idx="79">
                  <c:v>8.9125634517766503</c:v>
                </c:pt>
                <c:pt idx="80">
                  <c:v>17.132727272727301</c:v>
                </c:pt>
                <c:pt idx="81">
                  <c:v>17.1476224783862</c:v>
                </c:pt>
                <c:pt idx="82">
                  <c:v>20.6443661971831</c:v>
                </c:pt>
                <c:pt idx="83">
                  <c:v>24.441899766899802</c:v>
                </c:pt>
                <c:pt idx="84">
                  <c:v>16.3712201591512</c:v>
                </c:pt>
                <c:pt idx="85">
                  <c:v>15.4613893376414</c:v>
                </c:pt>
                <c:pt idx="86">
                  <c:v>24.6573469387755</c:v>
                </c:pt>
                <c:pt idx="87">
                  <c:v>6.7484693877551001</c:v>
                </c:pt>
                <c:pt idx="88">
                  <c:v>26.694155844155802</c:v>
                </c:pt>
                <c:pt idx="89">
                  <c:v>14.3685025817556</c:v>
                </c:pt>
                <c:pt idx="90">
                  <c:v>11.410618846694801</c:v>
                </c:pt>
                <c:pt idx="91">
                  <c:v>7.6320846905537501</c:v>
                </c:pt>
                <c:pt idx="92">
                  <c:v>17.943102040816299</c:v>
                </c:pt>
                <c:pt idx="93">
                  <c:v>7.6268738574040196</c:v>
                </c:pt>
                <c:pt idx="94">
                  <c:v>6.95066225165563</c:v>
                </c:pt>
                <c:pt idx="95">
                  <c:v>11.094749216300899</c:v>
                </c:pt>
                <c:pt idx="96">
                  <c:v>8.4399684873949603</c:v>
                </c:pt>
                <c:pt idx="97">
                  <c:v>14.8356890459364</c:v>
                </c:pt>
                <c:pt idx="98">
                  <c:v>13.793795620438001</c:v>
                </c:pt>
                <c:pt idx="99">
                  <c:v>23.297916666666701</c:v>
                </c:pt>
                <c:pt idx="100">
                  <c:v>22.0199140401146</c:v>
                </c:pt>
                <c:pt idx="101">
                  <c:v>17.734287709497199</c:v>
                </c:pt>
                <c:pt idx="102">
                  <c:v>7.7844943820224701</c:v>
                </c:pt>
                <c:pt idx="103">
                  <c:v>5.9652449324324301</c:v>
                </c:pt>
                <c:pt idx="104">
                  <c:v>5.7634657836644596</c:v>
                </c:pt>
                <c:pt idx="105">
                  <c:v>10.474509803921601</c:v>
                </c:pt>
                <c:pt idx="106">
                  <c:v>7.2816326530612301</c:v>
                </c:pt>
                <c:pt idx="107">
                  <c:v>7.50941011235955</c:v>
                </c:pt>
                <c:pt idx="108">
                  <c:v>30.5811436672968</c:v>
                </c:pt>
                <c:pt idx="109">
                  <c:v>10.165686274509801</c:v>
                </c:pt>
                <c:pt idx="110">
                  <c:v>8.7839851024208606</c:v>
                </c:pt>
                <c:pt idx="111">
                  <c:v>11.8573394495413</c:v>
                </c:pt>
                <c:pt idx="112">
                  <c:v>15.4902754590985</c:v>
                </c:pt>
                <c:pt idx="113">
                  <c:v>6.2514204545454497</c:v>
                </c:pt>
                <c:pt idx="114">
                  <c:v>16.618501170960201</c:v>
                </c:pt>
                <c:pt idx="115">
                  <c:v>10.2806451612903</c:v>
                </c:pt>
                <c:pt idx="116">
                  <c:v>11.948734177215201</c:v>
                </c:pt>
                <c:pt idx="117">
                  <c:v>8.0775244299674291</c:v>
                </c:pt>
                <c:pt idx="118">
                  <c:v>7.4776237623762398</c:v>
                </c:pt>
                <c:pt idx="119">
                  <c:v>13.126412776412799</c:v>
                </c:pt>
                <c:pt idx="120">
                  <c:v>14.639303797468401</c:v>
                </c:pt>
                <c:pt idx="121">
                  <c:v>2.3260416666666699</c:v>
                </c:pt>
                <c:pt idx="122">
                  <c:v>3.7610507246376801</c:v>
                </c:pt>
                <c:pt idx="123">
                  <c:v>25.990954773869301</c:v>
                </c:pt>
                <c:pt idx="124">
                  <c:v>7.2796296296296301</c:v>
                </c:pt>
                <c:pt idx="125">
                  <c:v>6.5958598726114603</c:v>
                </c:pt>
                <c:pt idx="126">
                  <c:v>16.753941908713699</c:v>
                </c:pt>
                <c:pt idx="127">
                  <c:v>14.027018633540401</c:v>
                </c:pt>
                <c:pt idx="128">
                  <c:v>2.4362264150943398</c:v>
                </c:pt>
                <c:pt idx="129">
                  <c:v>11.7191844300278</c:v>
                </c:pt>
                <c:pt idx="130">
                  <c:v>9.3309466019417506</c:v>
                </c:pt>
                <c:pt idx="131">
                  <c:v>9.2881632653061192</c:v>
                </c:pt>
                <c:pt idx="132">
                  <c:v>13.9335365853659</c:v>
                </c:pt>
                <c:pt idx="133">
                  <c:v>21.299157733537498</c:v>
                </c:pt>
                <c:pt idx="134">
                  <c:v>18.5769759450172</c:v>
                </c:pt>
                <c:pt idx="135">
                  <c:v>21.069881305637999</c:v>
                </c:pt>
                <c:pt idx="136">
                  <c:v>15.5579439252336</c:v>
                </c:pt>
                <c:pt idx="137">
                  <c:v>9.0877419354838693</c:v>
                </c:pt>
                <c:pt idx="138">
                  <c:v>15.442</c:v>
                </c:pt>
                <c:pt idx="139">
                  <c:v>22.309897610921499</c:v>
                </c:pt>
                <c:pt idx="140">
                  <c:v>4.0567204301075304</c:v>
                </c:pt>
                <c:pt idx="141">
                  <c:v>22.025035063113599</c:v>
                </c:pt>
                <c:pt idx="142">
                  <c:v>5.35890410958904</c:v>
                </c:pt>
                <c:pt idx="143">
                  <c:v>28.535043889263999</c:v>
                </c:pt>
                <c:pt idx="144">
                  <c:v>7.3390672782874598</c:v>
                </c:pt>
                <c:pt idx="145">
                  <c:v>6.8893617021276601</c:v>
                </c:pt>
                <c:pt idx="146">
                  <c:v>4.2206521739130398</c:v>
                </c:pt>
                <c:pt idx="147">
                  <c:v>9.1325153374233103</c:v>
                </c:pt>
                <c:pt idx="148">
                  <c:v>19.017246376811599</c:v>
                </c:pt>
                <c:pt idx="149">
                  <c:v>6.8969767441860501</c:v>
                </c:pt>
                <c:pt idx="150">
                  <c:v>7.9734375000000002</c:v>
                </c:pt>
                <c:pt idx="151">
                  <c:v>6.3446188340807197</c:v>
                </c:pt>
                <c:pt idx="152">
                  <c:v>21.075206124852802</c:v>
                </c:pt>
                <c:pt idx="153">
                  <c:v>8.45569395017794</c:v>
                </c:pt>
                <c:pt idx="154">
                  <c:v>27.093478260869599</c:v>
                </c:pt>
                <c:pt idx="155">
                  <c:v>12.529299156392</c:v>
                </c:pt>
                <c:pt idx="156">
                  <c:v>14.303450164293499</c:v>
                </c:pt>
                <c:pt idx="157">
                  <c:v>7.1132786885245904</c:v>
                </c:pt>
                <c:pt idx="158">
                  <c:v>14.0388888888889</c:v>
                </c:pt>
                <c:pt idx="159">
                  <c:v>3.8968992248062002</c:v>
                </c:pt>
                <c:pt idx="160">
                  <c:v>5.5643625192012296</c:v>
                </c:pt>
                <c:pt idx="161">
                  <c:v>6.9902035623409704</c:v>
                </c:pt>
                <c:pt idx="162">
                  <c:v>10.343939393939401</c:v>
                </c:pt>
                <c:pt idx="163">
                  <c:v>28.9016355140187</c:v>
                </c:pt>
                <c:pt idx="164">
                  <c:v>19.2605351170569</c:v>
                </c:pt>
                <c:pt idx="165">
                  <c:v>6.4741550695825101</c:v>
                </c:pt>
                <c:pt idx="166">
                  <c:v>5.61580310880829</c:v>
                </c:pt>
                <c:pt idx="167">
                  <c:v>18.341033568904599</c:v>
                </c:pt>
                <c:pt idx="168">
                  <c:v>9.9677696078431399</c:v>
                </c:pt>
                <c:pt idx="169">
                  <c:v>12.209455958549199</c:v>
                </c:pt>
                <c:pt idx="170">
                  <c:v>15.8637566137566</c:v>
                </c:pt>
                <c:pt idx="171">
                  <c:v>9.7115079365079406</c:v>
                </c:pt>
                <c:pt idx="172">
                  <c:v>5.4200883002207503</c:v>
                </c:pt>
                <c:pt idx="173">
                  <c:v>17.316793168880501</c:v>
                </c:pt>
                <c:pt idx="174">
                  <c:v>10.0861516034985</c:v>
                </c:pt>
                <c:pt idx="175">
                  <c:v>6.6337320574162701</c:v>
                </c:pt>
                <c:pt idx="176">
                  <c:v>22.438169014084501</c:v>
                </c:pt>
                <c:pt idx="177">
                  <c:v>7.4540189125295502</c:v>
                </c:pt>
                <c:pt idx="178">
                  <c:v>16.567238805970099</c:v>
                </c:pt>
                <c:pt idx="179">
                  <c:v>2.6749174917491798</c:v>
                </c:pt>
                <c:pt idx="180">
                  <c:v>7.9289655172413802</c:v>
                </c:pt>
                <c:pt idx="181">
                  <c:v>19.910995542347699</c:v>
                </c:pt>
                <c:pt idx="182">
                  <c:v>11.474901960784299</c:v>
                </c:pt>
                <c:pt idx="183">
                  <c:v>23.915828571428602</c:v>
                </c:pt>
                <c:pt idx="184">
                  <c:v>7.4490039840637499</c:v>
                </c:pt>
                <c:pt idx="185">
                  <c:v>2.3561797752808999</c:v>
                </c:pt>
                <c:pt idx="186">
                  <c:v>15.923487544484001</c:v>
                </c:pt>
                <c:pt idx="187">
                  <c:v>3.6546391752577301</c:v>
                </c:pt>
                <c:pt idx="188">
                  <c:v>28.062453987730098</c:v>
                </c:pt>
                <c:pt idx="189">
                  <c:v>23.459337944664</c:v>
                </c:pt>
                <c:pt idx="190">
                  <c:v>5.4396226415094304</c:v>
                </c:pt>
                <c:pt idx="191">
                  <c:v>16.838530465949798</c:v>
                </c:pt>
                <c:pt idx="192">
                  <c:v>16.842468619246901</c:v>
                </c:pt>
                <c:pt idx="193">
                  <c:v>12.9676119402985</c:v>
                </c:pt>
                <c:pt idx="194">
                  <c:v>8.7385338345864696</c:v>
                </c:pt>
                <c:pt idx="195">
                  <c:v>12.952600896861</c:v>
                </c:pt>
                <c:pt idx="196">
                  <c:v>7.3128787878787902</c:v>
                </c:pt>
                <c:pt idx="197">
                  <c:v>8.2932735426008897</c:v>
                </c:pt>
                <c:pt idx="198">
                  <c:v>3.7426573426573402</c:v>
                </c:pt>
                <c:pt idx="199">
                  <c:v>29.9165975103734</c:v>
                </c:pt>
                <c:pt idx="200">
                  <c:v>14.321989966555201</c:v>
                </c:pt>
                <c:pt idx="201">
                  <c:v>18.115033407572401</c:v>
                </c:pt>
                <c:pt idx="202">
                  <c:v>9.0718317972350206</c:v>
                </c:pt>
                <c:pt idx="203">
                  <c:v>19.155471887550199</c:v>
                </c:pt>
                <c:pt idx="204">
                  <c:v>18.785366894197999</c:v>
                </c:pt>
                <c:pt idx="205">
                  <c:v>11.985911602209899</c:v>
                </c:pt>
                <c:pt idx="206">
                  <c:v>20.745267175572501</c:v>
                </c:pt>
                <c:pt idx="207">
                  <c:v>10.9830366492147</c:v>
                </c:pt>
                <c:pt idx="208">
                  <c:v>18.849851411589899</c:v>
                </c:pt>
                <c:pt idx="209">
                  <c:v>18.504394141145099</c:v>
                </c:pt>
                <c:pt idx="210">
                  <c:v>24.933862704917999</c:v>
                </c:pt>
                <c:pt idx="211">
                  <c:v>26.615946843853798</c:v>
                </c:pt>
                <c:pt idx="212">
                  <c:v>5.3465014577259504</c:v>
                </c:pt>
                <c:pt idx="213">
                  <c:v>8.3768807339449491</c:v>
                </c:pt>
                <c:pt idx="214">
                  <c:v>20.655985267035</c:v>
                </c:pt>
                <c:pt idx="215">
                  <c:v>32.659960841899199</c:v>
                </c:pt>
                <c:pt idx="216">
                  <c:v>3.9080952380952398</c:v>
                </c:pt>
                <c:pt idx="217">
                  <c:v>4.3676271186440703</c:v>
                </c:pt>
                <c:pt idx="218">
                  <c:v>16.508505154639199</c:v>
                </c:pt>
                <c:pt idx="219">
                  <c:v>13.513803680981599</c:v>
                </c:pt>
                <c:pt idx="220">
                  <c:v>35.1685787671233</c:v>
                </c:pt>
                <c:pt idx="221">
                  <c:v>4.4299093655589097</c:v>
                </c:pt>
                <c:pt idx="222">
                  <c:v>10.570772946859901</c:v>
                </c:pt>
                <c:pt idx="223">
                  <c:v>6.6392628205128199</c:v>
                </c:pt>
                <c:pt idx="224">
                  <c:v>2.81666666666667</c:v>
                </c:pt>
                <c:pt idx="225">
                  <c:v>7.4</c:v>
                </c:pt>
                <c:pt idx="226">
                  <c:v>17.344057724957601</c:v>
                </c:pt>
                <c:pt idx="227">
                  <c:v>10.8780323450135</c:v>
                </c:pt>
                <c:pt idx="228">
                  <c:v>13.0688988095238</c:v>
                </c:pt>
                <c:pt idx="229">
                  <c:v>3.6268907563025201</c:v>
                </c:pt>
                <c:pt idx="230">
                  <c:v>15.5237485448196</c:v>
                </c:pt>
                <c:pt idx="231">
                  <c:v>15.3933862433862</c:v>
                </c:pt>
                <c:pt idx="232">
                  <c:v>13.2828125</c:v>
                </c:pt>
                <c:pt idx="233">
                  <c:v>10.3310449050086</c:v>
                </c:pt>
                <c:pt idx="234">
                  <c:v>13.157645403377099</c:v>
                </c:pt>
                <c:pt idx="235">
                  <c:v>6.3634241245136201</c:v>
                </c:pt>
                <c:pt idx="236">
                  <c:v>7.6366972477064197</c:v>
                </c:pt>
                <c:pt idx="237">
                  <c:v>11.893036529680399</c:v>
                </c:pt>
                <c:pt idx="238">
                  <c:v>8.9764261744966394</c:v>
                </c:pt>
                <c:pt idx="239">
                  <c:v>4.7819444444444397</c:v>
                </c:pt>
                <c:pt idx="240">
                  <c:v>17.9968390804598</c:v>
                </c:pt>
                <c:pt idx="241">
                  <c:v>17.743601089176298</c:v>
                </c:pt>
                <c:pt idx="242">
                  <c:v>7.2021739130434801</c:v>
                </c:pt>
                <c:pt idx="243">
                  <c:v>14.0001101321586</c:v>
                </c:pt>
                <c:pt idx="244">
                  <c:v>11.5272808586762</c:v>
                </c:pt>
                <c:pt idx="245">
                  <c:v>9.7020169851380107</c:v>
                </c:pt>
                <c:pt idx="246">
                  <c:v>7.94658018867925</c:v>
                </c:pt>
                <c:pt idx="247">
                  <c:v>9.5175126903553302</c:v>
                </c:pt>
                <c:pt idx="248">
                  <c:v>18.004534606205201</c:v>
                </c:pt>
                <c:pt idx="249">
                  <c:v>11.352277904328</c:v>
                </c:pt>
                <c:pt idx="250">
                  <c:v>14.5064575645756</c:v>
                </c:pt>
                <c:pt idx="251">
                  <c:v>6.4763888888888896</c:v>
                </c:pt>
                <c:pt idx="252">
                  <c:v>7.7595127610208801</c:v>
                </c:pt>
                <c:pt idx="253">
                  <c:v>10.8029772329247</c:v>
                </c:pt>
                <c:pt idx="254">
                  <c:v>13.707841068917</c:v>
                </c:pt>
                <c:pt idx="255">
                  <c:v>32.583653846153901</c:v>
                </c:pt>
                <c:pt idx="256">
                  <c:v>7.76642066420664</c:v>
                </c:pt>
                <c:pt idx="257">
                  <c:v>22.936596638655502</c:v>
                </c:pt>
                <c:pt idx="258">
                  <c:v>12.887412993039399</c:v>
                </c:pt>
                <c:pt idx="259">
                  <c:v>15.599537750385201</c:v>
                </c:pt>
                <c:pt idx="260">
                  <c:v>10.797013274336299</c:v>
                </c:pt>
                <c:pt idx="261">
                  <c:v>8.5804878048780502</c:v>
                </c:pt>
                <c:pt idx="262">
                  <c:v>14.338631090487199</c:v>
                </c:pt>
                <c:pt idx="263">
                  <c:v>4.9322869955156996</c:v>
                </c:pt>
                <c:pt idx="264">
                  <c:v>26.674339622641501</c:v>
                </c:pt>
                <c:pt idx="265">
                  <c:v>21.804716981132099</c:v>
                </c:pt>
                <c:pt idx="266">
                  <c:v>7.1766953713670603</c:v>
                </c:pt>
                <c:pt idx="267">
                  <c:v>11.8574175824176</c:v>
                </c:pt>
                <c:pt idx="268">
                  <c:v>23.525820379965499</c:v>
                </c:pt>
                <c:pt idx="269">
                  <c:v>6.6486286919831201</c:v>
                </c:pt>
                <c:pt idx="270">
                  <c:v>11.491603773584901</c:v>
                </c:pt>
                <c:pt idx="271">
                  <c:v>9.3758116883116909</c:v>
                </c:pt>
                <c:pt idx="272">
                  <c:v>10.623471615720501</c:v>
                </c:pt>
                <c:pt idx="273">
                  <c:v>11.852745664739899</c:v>
                </c:pt>
                <c:pt idx="274">
                  <c:v>5.5306306306306299</c:v>
                </c:pt>
                <c:pt idx="275">
                  <c:v>20.623012552301301</c:v>
                </c:pt>
                <c:pt idx="276">
                  <c:v>8.6522996057818702</c:v>
                </c:pt>
                <c:pt idx="277">
                  <c:v>12.0972739361702</c:v>
                </c:pt>
                <c:pt idx="278">
                  <c:v>20.244511070110701</c:v>
                </c:pt>
                <c:pt idx="279">
                  <c:v>14.2368191721133</c:v>
                </c:pt>
                <c:pt idx="280">
                  <c:v>27.9309554973822</c:v>
                </c:pt>
                <c:pt idx="281">
                  <c:v>8.6814903846153904</c:v>
                </c:pt>
                <c:pt idx="282">
                  <c:v>16.893750000000001</c:v>
                </c:pt>
                <c:pt idx="283">
                  <c:v>8.1978155339805792</c:v>
                </c:pt>
                <c:pt idx="284">
                  <c:v>6.1182089552238796</c:v>
                </c:pt>
                <c:pt idx="285">
                  <c:v>7.0434540389972096</c:v>
                </c:pt>
                <c:pt idx="286">
                  <c:v>24.5972222222222</c:v>
                </c:pt>
                <c:pt idx="287">
                  <c:v>9.3684666666666701</c:v>
                </c:pt>
                <c:pt idx="288">
                  <c:v>15.124280575539601</c:v>
                </c:pt>
                <c:pt idx="289">
                  <c:v>27.904765886287599</c:v>
                </c:pt>
                <c:pt idx="290">
                  <c:v>7.7339814814814796</c:v>
                </c:pt>
                <c:pt idx="291">
                  <c:v>8.4239726027397293</c:v>
                </c:pt>
                <c:pt idx="292">
                  <c:v>15.133697047496799</c:v>
                </c:pt>
                <c:pt idx="293">
                  <c:v>2.5025423728813601</c:v>
                </c:pt>
                <c:pt idx="294">
                  <c:v>27.6160133136095</c:v>
                </c:pt>
                <c:pt idx="295">
                  <c:v>14.583263816475499</c:v>
                </c:pt>
                <c:pt idx="296">
                  <c:v>11.2694035631294</c:v>
                </c:pt>
                <c:pt idx="297">
                  <c:v>9.6614219114219093</c:v>
                </c:pt>
                <c:pt idx="298">
                  <c:v>13.7189361702128</c:v>
                </c:pt>
                <c:pt idx="299">
                  <c:v>11.4882310984308</c:v>
                </c:pt>
                <c:pt idx="300">
                  <c:v>10.4909584086799</c:v>
                </c:pt>
                <c:pt idx="301">
                  <c:v>8.4078175895765508</c:v>
                </c:pt>
                <c:pt idx="302">
                  <c:v>15.5582541567696</c:v>
                </c:pt>
                <c:pt idx="303">
                  <c:v>8.2199831365935907</c:v>
                </c:pt>
                <c:pt idx="304">
                  <c:v>18.484115226337401</c:v>
                </c:pt>
                <c:pt idx="305">
                  <c:v>4.2328442437923304</c:v>
                </c:pt>
                <c:pt idx="306">
                  <c:v>7.4128487518355399</c:v>
                </c:pt>
                <c:pt idx="307">
                  <c:v>28.466295025729</c:v>
                </c:pt>
                <c:pt idx="308">
                  <c:v>12.342857142857101</c:v>
                </c:pt>
                <c:pt idx="309">
                  <c:v>8.9498344370860892</c:v>
                </c:pt>
                <c:pt idx="310">
                  <c:v>8.7482200647249204</c:v>
                </c:pt>
                <c:pt idx="311">
                  <c:v>3.8423728813559301</c:v>
                </c:pt>
                <c:pt idx="312">
                  <c:v>9.3146124523506995</c:v>
                </c:pt>
                <c:pt idx="313">
                  <c:v>12.345328399630001</c:v>
                </c:pt>
                <c:pt idx="314">
                  <c:v>9.1291540785498508</c:v>
                </c:pt>
                <c:pt idx="315">
                  <c:v>18.8970192307692</c:v>
                </c:pt>
                <c:pt idx="316">
                  <c:v>25.254591836734701</c:v>
                </c:pt>
                <c:pt idx="317">
                  <c:v>6.1685863874345603</c:v>
                </c:pt>
                <c:pt idx="318">
                  <c:v>21.155064655172399</c:v>
                </c:pt>
                <c:pt idx="319">
                  <c:v>11.0353179190751</c:v>
                </c:pt>
                <c:pt idx="320">
                  <c:v>6.0251724137930998</c:v>
                </c:pt>
                <c:pt idx="321">
                  <c:v>2.7189710610932498</c:v>
                </c:pt>
                <c:pt idx="322">
                  <c:v>16.877753303964798</c:v>
                </c:pt>
                <c:pt idx="323">
                  <c:v>5.8284708249496999</c:v>
                </c:pt>
                <c:pt idx="324">
                  <c:v>9.87240740740741</c:v>
                </c:pt>
                <c:pt idx="325">
                  <c:v>21.474479166666701</c:v>
                </c:pt>
                <c:pt idx="326">
                  <c:v>4.2334375</c:v>
                </c:pt>
                <c:pt idx="327">
                  <c:v>8.8268545994065306</c:v>
                </c:pt>
                <c:pt idx="328">
                  <c:v>25.216440677966101</c:v>
                </c:pt>
              </c:numCache>
            </c:numRef>
          </c:xVal>
          <c:yVal>
            <c:numRef>
              <c:f>PlayerStatistics_final!$V$26:$V$354</c:f>
              <c:numCache>
                <c:formatCode>General</c:formatCode>
                <c:ptCount val="329"/>
                <c:pt idx="0">
                  <c:v>5874179.2023411337</c:v>
                </c:pt>
                <c:pt idx="1">
                  <c:v>-864758.21201128792</c:v>
                </c:pt>
                <c:pt idx="2">
                  <c:v>485595.84520268627</c:v>
                </c:pt>
                <c:pt idx="3">
                  <c:v>-3800056.5833057892</c:v>
                </c:pt>
                <c:pt idx="4">
                  <c:v>-2107551.541201761</c:v>
                </c:pt>
                <c:pt idx="5">
                  <c:v>-319646.87408137694</c:v>
                </c:pt>
                <c:pt idx="6">
                  <c:v>2947006.5444902331</c:v>
                </c:pt>
                <c:pt idx="7">
                  <c:v>-2204066.7633886077</c:v>
                </c:pt>
                <c:pt idx="8">
                  <c:v>-19602299.196974628</c:v>
                </c:pt>
                <c:pt idx="9">
                  <c:v>3361037.3980478458</c:v>
                </c:pt>
                <c:pt idx="10">
                  <c:v>-16627817.186502056</c:v>
                </c:pt>
                <c:pt idx="11">
                  <c:v>-9660361.3558360469</c:v>
                </c:pt>
                <c:pt idx="12">
                  <c:v>10376447.867127128</c:v>
                </c:pt>
                <c:pt idx="13">
                  <c:v>13411411.391152533</c:v>
                </c:pt>
                <c:pt idx="14">
                  <c:v>11612761.297067881</c:v>
                </c:pt>
                <c:pt idx="15">
                  <c:v>-13638480.079490526</c:v>
                </c:pt>
                <c:pt idx="16">
                  <c:v>4918748.3313842919</c:v>
                </c:pt>
                <c:pt idx="17">
                  <c:v>-15547675.695248183</c:v>
                </c:pt>
                <c:pt idx="18">
                  <c:v>-10190172.718542095</c:v>
                </c:pt>
                <c:pt idx="19">
                  <c:v>11485163.867436729</c:v>
                </c:pt>
                <c:pt idx="20">
                  <c:v>16241216.386163831</c:v>
                </c:pt>
                <c:pt idx="21">
                  <c:v>-7358077.6126113068</c:v>
                </c:pt>
                <c:pt idx="22">
                  <c:v>-3027267.2507523224</c:v>
                </c:pt>
                <c:pt idx="23">
                  <c:v>2370612.2452588473</c:v>
                </c:pt>
                <c:pt idx="24">
                  <c:v>-583120.87191736512</c:v>
                </c:pt>
                <c:pt idx="25">
                  <c:v>4943607.0549487565</c:v>
                </c:pt>
                <c:pt idx="26">
                  <c:v>1939642.6275468452</c:v>
                </c:pt>
                <c:pt idx="27">
                  <c:v>-488857.21332904696</c:v>
                </c:pt>
                <c:pt idx="28">
                  <c:v>24968079.945966452</c:v>
                </c:pt>
                <c:pt idx="29">
                  <c:v>154974.05649044365</c:v>
                </c:pt>
                <c:pt idx="30">
                  <c:v>13393758.055508912</c:v>
                </c:pt>
                <c:pt idx="31">
                  <c:v>3834274.3403955279</c:v>
                </c:pt>
                <c:pt idx="32">
                  <c:v>-12095269.65469617</c:v>
                </c:pt>
                <c:pt idx="33">
                  <c:v>-4296159.3176787235</c:v>
                </c:pt>
                <c:pt idx="34">
                  <c:v>3041617.7735555014</c:v>
                </c:pt>
                <c:pt idx="35">
                  <c:v>-819825.51788734272</c:v>
                </c:pt>
                <c:pt idx="36">
                  <c:v>15240151.50446894</c:v>
                </c:pt>
                <c:pt idx="37">
                  <c:v>-14039867.270761101</c:v>
                </c:pt>
                <c:pt idx="38">
                  <c:v>4743427.872026301</c:v>
                </c:pt>
                <c:pt idx="39">
                  <c:v>1474346.8464038223</c:v>
                </c:pt>
                <c:pt idx="40">
                  <c:v>-5504015.9614785705</c:v>
                </c:pt>
                <c:pt idx="41">
                  <c:v>-5954055.040481288</c:v>
                </c:pt>
                <c:pt idx="42">
                  <c:v>-454610.49308771268</c:v>
                </c:pt>
                <c:pt idx="43">
                  <c:v>-7969350.1649640631</c:v>
                </c:pt>
                <c:pt idx="44">
                  <c:v>2979829.2810717495</c:v>
                </c:pt>
                <c:pt idx="45">
                  <c:v>-10404285.361173131</c:v>
                </c:pt>
                <c:pt idx="46">
                  <c:v>7017309.3886239454</c:v>
                </c:pt>
                <c:pt idx="47">
                  <c:v>5958889.8407608867</c:v>
                </c:pt>
                <c:pt idx="48">
                  <c:v>-4760463.0213798024</c:v>
                </c:pt>
                <c:pt idx="49">
                  <c:v>2918900.6962666521</c:v>
                </c:pt>
                <c:pt idx="50">
                  <c:v>3251176.2120932173</c:v>
                </c:pt>
                <c:pt idx="51">
                  <c:v>4903922.746353602</c:v>
                </c:pt>
                <c:pt idx="52">
                  <c:v>-10074005.998031052</c:v>
                </c:pt>
                <c:pt idx="53">
                  <c:v>3174561.4185336586</c:v>
                </c:pt>
                <c:pt idx="54">
                  <c:v>-5812856.5873112828</c:v>
                </c:pt>
                <c:pt idx="55">
                  <c:v>-4465242.1823574565</c:v>
                </c:pt>
                <c:pt idx="56">
                  <c:v>1024015.2359874379</c:v>
                </c:pt>
                <c:pt idx="57">
                  <c:v>-3511210.2049298063</c:v>
                </c:pt>
                <c:pt idx="58">
                  <c:v>-2486047.064205803</c:v>
                </c:pt>
                <c:pt idx="59">
                  <c:v>-7350593.8078678548</c:v>
                </c:pt>
                <c:pt idx="60">
                  <c:v>3858077.150119931</c:v>
                </c:pt>
                <c:pt idx="61">
                  <c:v>-1533419.5739464676</c:v>
                </c:pt>
                <c:pt idx="62">
                  <c:v>4659395.4916690392</c:v>
                </c:pt>
                <c:pt idx="63">
                  <c:v>18470615.530502975</c:v>
                </c:pt>
                <c:pt idx="64">
                  <c:v>-1627894.5089819459</c:v>
                </c:pt>
                <c:pt idx="65">
                  <c:v>-304860.15036846511</c:v>
                </c:pt>
                <c:pt idx="66">
                  <c:v>-2997998.5428122021</c:v>
                </c:pt>
                <c:pt idx="67">
                  <c:v>5970179.3258202448</c:v>
                </c:pt>
                <c:pt idx="68">
                  <c:v>1429750.0477945274</c:v>
                </c:pt>
                <c:pt idx="69">
                  <c:v>-1202665.2000284232</c:v>
                </c:pt>
                <c:pt idx="70">
                  <c:v>-2235994.0384455174</c:v>
                </c:pt>
                <c:pt idx="71">
                  <c:v>7601319.6773444563</c:v>
                </c:pt>
                <c:pt idx="72">
                  <c:v>4663898.1531767678</c:v>
                </c:pt>
                <c:pt idx="73">
                  <c:v>-3310461.4374095295</c:v>
                </c:pt>
                <c:pt idx="74">
                  <c:v>-6026255.4345898647</c:v>
                </c:pt>
                <c:pt idx="75">
                  <c:v>-3767404.1599777639</c:v>
                </c:pt>
                <c:pt idx="76">
                  <c:v>1868234.7743718941</c:v>
                </c:pt>
                <c:pt idx="77">
                  <c:v>14270503.93026679</c:v>
                </c:pt>
                <c:pt idx="78">
                  <c:v>-7490859.9408812467</c:v>
                </c:pt>
                <c:pt idx="79">
                  <c:v>920326.5091719497</c:v>
                </c:pt>
                <c:pt idx="80">
                  <c:v>-8458069.5551280417</c:v>
                </c:pt>
                <c:pt idx="81">
                  <c:v>3324542.867148919</c:v>
                </c:pt>
                <c:pt idx="82">
                  <c:v>-15627540.9673618</c:v>
                </c:pt>
                <c:pt idx="83">
                  <c:v>15527533.315001585</c:v>
                </c:pt>
                <c:pt idx="84">
                  <c:v>-7902905.9785360247</c:v>
                </c:pt>
                <c:pt idx="85">
                  <c:v>-9058103.2506208625</c:v>
                </c:pt>
                <c:pt idx="86">
                  <c:v>-10350165.160451608</c:v>
                </c:pt>
                <c:pt idx="87">
                  <c:v>-865399.15573090687</c:v>
                </c:pt>
                <c:pt idx="88">
                  <c:v>5818613.2081881762</c:v>
                </c:pt>
                <c:pt idx="89">
                  <c:v>-8373761.4544711951</c:v>
                </c:pt>
                <c:pt idx="90">
                  <c:v>6297611.3817996606</c:v>
                </c:pt>
                <c:pt idx="91">
                  <c:v>6404912.5707083177</c:v>
                </c:pt>
                <c:pt idx="92">
                  <c:v>1739146.151564179</c:v>
                </c:pt>
                <c:pt idx="93">
                  <c:v>-2098976.0865825312</c:v>
                </c:pt>
                <c:pt idx="94">
                  <c:v>-1758234.0876032086</c:v>
                </c:pt>
                <c:pt idx="95">
                  <c:v>10926936.194780093</c:v>
                </c:pt>
                <c:pt idx="96">
                  <c:v>-110192.80189677328</c:v>
                </c:pt>
                <c:pt idx="97">
                  <c:v>-6267145.8973966818</c:v>
                </c:pt>
                <c:pt idx="98">
                  <c:v>2787777.6645520627</c:v>
                </c:pt>
                <c:pt idx="99">
                  <c:v>-13434094.145416675</c:v>
                </c:pt>
                <c:pt idx="100">
                  <c:v>-15391009.538610404</c:v>
                </c:pt>
                <c:pt idx="101">
                  <c:v>-1097781.4779384825</c:v>
                </c:pt>
                <c:pt idx="102">
                  <c:v>-2353069.6968734721</c:v>
                </c:pt>
                <c:pt idx="103">
                  <c:v>2906567.2112688171</c:v>
                </c:pt>
                <c:pt idx="104">
                  <c:v>1724690.9664608371</c:v>
                </c:pt>
                <c:pt idx="105">
                  <c:v>2239438.0893674828</c:v>
                </c:pt>
                <c:pt idx="106">
                  <c:v>6405174.4330718126</c:v>
                </c:pt>
                <c:pt idx="107">
                  <c:v>-1448558.007074479</c:v>
                </c:pt>
                <c:pt idx="108">
                  <c:v>13284167.632385969</c:v>
                </c:pt>
                <c:pt idx="109">
                  <c:v>-3547614.1262500826</c:v>
                </c:pt>
                <c:pt idx="110">
                  <c:v>-733272.47488422319</c:v>
                </c:pt>
                <c:pt idx="111">
                  <c:v>-2260468.7950352691</c:v>
                </c:pt>
                <c:pt idx="112">
                  <c:v>-6777929.2710674629</c:v>
                </c:pt>
                <c:pt idx="113">
                  <c:v>236952.03196685831</c:v>
                </c:pt>
                <c:pt idx="114">
                  <c:v>-10145003.064239224</c:v>
                </c:pt>
                <c:pt idx="115">
                  <c:v>3086320.6230692789</c:v>
                </c:pt>
                <c:pt idx="116">
                  <c:v>-2294994.342290299</c:v>
                </c:pt>
                <c:pt idx="117">
                  <c:v>-101034.8573417142</c:v>
                </c:pt>
                <c:pt idx="118">
                  <c:v>-563127.30457686097</c:v>
                </c:pt>
                <c:pt idx="119">
                  <c:v>-4480425.5443483498</c:v>
                </c:pt>
                <c:pt idx="120">
                  <c:v>-864642.22744560242</c:v>
                </c:pt>
                <c:pt idx="121">
                  <c:v>4837581.6830561366</c:v>
                </c:pt>
                <c:pt idx="122">
                  <c:v>4026242.7086169776</c:v>
                </c:pt>
                <c:pt idx="123">
                  <c:v>829882.37688483298</c:v>
                </c:pt>
                <c:pt idx="124">
                  <c:v>-721461.21698712767</c:v>
                </c:pt>
                <c:pt idx="125">
                  <c:v>160300.12957411422</c:v>
                </c:pt>
                <c:pt idx="126">
                  <c:v>-6910285.867257325</c:v>
                </c:pt>
                <c:pt idx="127">
                  <c:v>-7049756.8044022415</c:v>
                </c:pt>
                <c:pt idx="128">
                  <c:v>6728545.2981080068</c:v>
                </c:pt>
                <c:pt idx="129">
                  <c:v>-4637709.7659321725</c:v>
                </c:pt>
                <c:pt idx="130">
                  <c:v>1924274.8121041842</c:v>
                </c:pt>
                <c:pt idx="131">
                  <c:v>-1697284.8905230295</c:v>
                </c:pt>
                <c:pt idx="132">
                  <c:v>-7755131.2011741716</c:v>
                </c:pt>
                <c:pt idx="133">
                  <c:v>5960417.1405379027</c:v>
                </c:pt>
                <c:pt idx="134">
                  <c:v>-12545235.556050763</c:v>
                </c:pt>
                <c:pt idx="135">
                  <c:v>-9485127.7444125339</c:v>
                </c:pt>
                <c:pt idx="136">
                  <c:v>-9572981.0742696282</c:v>
                </c:pt>
                <c:pt idx="137">
                  <c:v>404863.21055416763</c:v>
                </c:pt>
                <c:pt idx="138">
                  <c:v>-5045504.55852695</c:v>
                </c:pt>
                <c:pt idx="139">
                  <c:v>-17131017.75416816</c:v>
                </c:pt>
                <c:pt idx="140">
                  <c:v>2605769.5544070983</c:v>
                </c:pt>
                <c:pt idx="141">
                  <c:v>12511089.267489135</c:v>
                </c:pt>
                <c:pt idx="142">
                  <c:v>208641.38994862634</c:v>
                </c:pt>
                <c:pt idx="143">
                  <c:v>-6837350.2757988349</c:v>
                </c:pt>
                <c:pt idx="144">
                  <c:v>-1103535.2299414536</c:v>
                </c:pt>
                <c:pt idx="145">
                  <c:v>-1245750.7543313941</c:v>
                </c:pt>
                <c:pt idx="146">
                  <c:v>2327102.5888460455</c:v>
                </c:pt>
                <c:pt idx="147">
                  <c:v>-1672647.726491211</c:v>
                </c:pt>
                <c:pt idx="148">
                  <c:v>2556409.8089927658</c:v>
                </c:pt>
                <c:pt idx="149">
                  <c:v>-1208563.4659336647</c:v>
                </c:pt>
                <c:pt idx="150">
                  <c:v>2122542.0318004061</c:v>
                </c:pt>
                <c:pt idx="151">
                  <c:v>-1062495.7638549309</c:v>
                </c:pt>
                <c:pt idx="152">
                  <c:v>438263.58780514449</c:v>
                </c:pt>
                <c:pt idx="153">
                  <c:v>-1817280.3783814015</c:v>
                </c:pt>
                <c:pt idx="154">
                  <c:v>4741693.4487704188</c:v>
                </c:pt>
                <c:pt idx="155">
                  <c:v>-7577000.3867971227</c:v>
                </c:pt>
                <c:pt idx="156">
                  <c:v>-4379872.5333399232</c:v>
                </c:pt>
                <c:pt idx="157">
                  <c:v>-129857.22078741342</c:v>
                </c:pt>
                <c:pt idx="158">
                  <c:v>-5706865.1973260846</c:v>
                </c:pt>
                <c:pt idx="159">
                  <c:v>3941681.4052982135</c:v>
                </c:pt>
                <c:pt idx="160">
                  <c:v>2659676.3446797235</c:v>
                </c:pt>
                <c:pt idx="161">
                  <c:v>-1412837.9350293176</c:v>
                </c:pt>
                <c:pt idx="162">
                  <c:v>-4099183.6819301639</c:v>
                </c:pt>
                <c:pt idx="163">
                  <c:v>13532831.580796137</c:v>
                </c:pt>
                <c:pt idx="164">
                  <c:v>7382674.6591122076</c:v>
                </c:pt>
                <c:pt idx="165">
                  <c:v>2353130.969637325</c:v>
                </c:pt>
                <c:pt idx="166">
                  <c:v>595240.67672384996</c:v>
                </c:pt>
                <c:pt idx="167">
                  <c:v>-6526573.9751069639</c:v>
                </c:pt>
                <c:pt idx="168">
                  <c:v>11626242.730936779</c:v>
                </c:pt>
                <c:pt idx="169">
                  <c:v>-2201548.0913842544</c:v>
                </c:pt>
                <c:pt idx="170">
                  <c:v>-4176979.5354491342</c:v>
                </c:pt>
                <c:pt idx="171">
                  <c:v>-3676477.427656373</c:v>
                </c:pt>
                <c:pt idx="172">
                  <c:v>1584078.7749887796</c:v>
                </c:pt>
                <c:pt idx="173">
                  <c:v>5418758.3048154023</c:v>
                </c:pt>
                <c:pt idx="174">
                  <c:v>-4130347.1534464918</c:v>
                </c:pt>
                <c:pt idx="175">
                  <c:v>1593672.0515446384</c:v>
                </c:pt>
                <c:pt idx="176">
                  <c:v>-14779468.944930343</c:v>
                </c:pt>
                <c:pt idx="177">
                  <c:v>2343123.8719530534</c:v>
                </c:pt>
                <c:pt idx="178">
                  <c:v>-5644161.2274167482</c:v>
                </c:pt>
                <c:pt idx="179">
                  <c:v>5216586.1060337182</c:v>
                </c:pt>
                <c:pt idx="180">
                  <c:v>-2488541.0622619586</c:v>
                </c:pt>
                <c:pt idx="181">
                  <c:v>18265574.656312913</c:v>
                </c:pt>
                <c:pt idx="182">
                  <c:v>-6960412.14402017</c:v>
                </c:pt>
                <c:pt idx="183">
                  <c:v>1900199.7513928786</c:v>
                </c:pt>
                <c:pt idx="184">
                  <c:v>-1598615.0826248238</c:v>
                </c:pt>
                <c:pt idx="185">
                  <c:v>4053534.4848150876</c:v>
                </c:pt>
                <c:pt idx="186">
                  <c:v>3420993.913772678</c:v>
                </c:pt>
                <c:pt idx="187">
                  <c:v>5917614.3313125083</c:v>
                </c:pt>
                <c:pt idx="188">
                  <c:v>10858615.550958864</c:v>
                </c:pt>
                <c:pt idx="189">
                  <c:v>22468155.28244137</c:v>
                </c:pt>
                <c:pt idx="190">
                  <c:v>112349.42549050292</c:v>
                </c:pt>
                <c:pt idx="191">
                  <c:v>-6225007.7904728819</c:v>
                </c:pt>
                <c:pt idx="192">
                  <c:v>-348078.270938823</c:v>
                </c:pt>
                <c:pt idx="193">
                  <c:v>-1308897.1862468254</c:v>
                </c:pt>
                <c:pt idx="194">
                  <c:v>759414.61013009585</c:v>
                </c:pt>
                <c:pt idx="195">
                  <c:v>5093735.7711096667</c:v>
                </c:pt>
                <c:pt idx="196">
                  <c:v>-1593238.2968405988</c:v>
                </c:pt>
                <c:pt idx="197">
                  <c:v>-293045.70317354798</c:v>
                </c:pt>
                <c:pt idx="198">
                  <c:v>3442512.0572666265</c:v>
                </c:pt>
                <c:pt idx="199">
                  <c:v>16150487.681841254</c:v>
                </c:pt>
                <c:pt idx="200">
                  <c:v>4280862.3004397023</c:v>
                </c:pt>
                <c:pt idx="201">
                  <c:v>-6094477.4652950596</c:v>
                </c:pt>
                <c:pt idx="202">
                  <c:v>3881607.2702548765</c:v>
                </c:pt>
                <c:pt idx="203">
                  <c:v>8505102.543972671</c:v>
                </c:pt>
                <c:pt idx="204">
                  <c:v>10795272.049638391</c:v>
                </c:pt>
                <c:pt idx="205">
                  <c:v>-7180775.1533195749</c:v>
                </c:pt>
                <c:pt idx="206">
                  <c:v>3611225.2822393328</c:v>
                </c:pt>
                <c:pt idx="207">
                  <c:v>-1083003.8748548925</c:v>
                </c:pt>
                <c:pt idx="208">
                  <c:v>-8561057.864260586</c:v>
                </c:pt>
                <c:pt idx="209">
                  <c:v>2556387.6186827496</c:v>
                </c:pt>
                <c:pt idx="210">
                  <c:v>-12101062.849215193</c:v>
                </c:pt>
                <c:pt idx="211">
                  <c:v>-15967165.682746693</c:v>
                </c:pt>
                <c:pt idx="212">
                  <c:v>1423407.3395134869</c:v>
                </c:pt>
                <c:pt idx="213">
                  <c:v>6527787.5693559609</c:v>
                </c:pt>
                <c:pt idx="214">
                  <c:v>-2296841.441803664</c:v>
                </c:pt>
                <c:pt idx="215">
                  <c:v>12166113.532034516</c:v>
                </c:pt>
                <c:pt idx="216">
                  <c:v>2083684.4871941535</c:v>
                </c:pt>
                <c:pt idx="217">
                  <c:v>2862880.080390716</c:v>
                </c:pt>
                <c:pt idx="218">
                  <c:v>6256695.6062157135</c:v>
                </c:pt>
                <c:pt idx="219">
                  <c:v>5338608.4167355299</c:v>
                </c:pt>
                <c:pt idx="220">
                  <c:v>1792536.0668166354</c:v>
                </c:pt>
                <c:pt idx="221">
                  <c:v>2124520.4572250769</c:v>
                </c:pt>
                <c:pt idx="222">
                  <c:v>7872876.7674202155</c:v>
                </c:pt>
                <c:pt idx="223">
                  <c:v>34075.473672155058</c:v>
                </c:pt>
                <c:pt idx="224">
                  <c:v>4088880.2019946608</c:v>
                </c:pt>
                <c:pt idx="225">
                  <c:v>609332.77240410075</c:v>
                </c:pt>
                <c:pt idx="226">
                  <c:v>7247418.3883673456</c:v>
                </c:pt>
                <c:pt idx="227">
                  <c:v>3746452.3556892369</c:v>
                </c:pt>
                <c:pt idx="228">
                  <c:v>-3300162.8989244308</c:v>
                </c:pt>
                <c:pt idx="229">
                  <c:v>5012619.2174207503</c:v>
                </c:pt>
                <c:pt idx="230">
                  <c:v>5645194.2147575151</c:v>
                </c:pt>
                <c:pt idx="231">
                  <c:v>-8862249.2580958288</c:v>
                </c:pt>
                <c:pt idx="232">
                  <c:v>1117966.4734770022</c:v>
                </c:pt>
                <c:pt idx="233">
                  <c:v>-5273605.1461849213</c:v>
                </c:pt>
                <c:pt idx="234">
                  <c:v>-6860484.1884222776</c:v>
                </c:pt>
                <c:pt idx="235">
                  <c:v>2426054.0406353334</c:v>
                </c:pt>
                <c:pt idx="236">
                  <c:v>-1855153.9265563479</c:v>
                </c:pt>
                <c:pt idx="237">
                  <c:v>-7651276.6142440541</c:v>
                </c:pt>
                <c:pt idx="238">
                  <c:v>5837971.7694329005</c:v>
                </c:pt>
                <c:pt idx="239">
                  <c:v>1265749.5031449804</c:v>
                </c:pt>
                <c:pt idx="240">
                  <c:v>5572285.0761233177</c:v>
                </c:pt>
                <c:pt idx="241">
                  <c:v>-121149.62919566967</c:v>
                </c:pt>
                <c:pt idx="242">
                  <c:v>-1074154.1782765479</c:v>
                </c:pt>
                <c:pt idx="243">
                  <c:v>4708120.2918930855</c:v>
                </c:pt>
                <c:pt idx="244">
                  <c:v>-1476196.8157356977</c:v>
                </c:pt>
                <c:pt idx="245">
                  <c:v>-4804813.6205857862</c:v>
                </c:pt>
                <c:pt idx="246">
                  <c:v>1319988.4488324244</c:v>
                </c:pt>
                <c:pt idx="247">
                  <c:v>-4436243.4730268586</c:v>
                </c:pt>
                <c:pt idx="248">
                  <c:v>9195694.5760695506</c:v>
                </c:pt>
                <c:pt idx="249">
                  <c:v>-6321394.8725575674</c:v>
                </c:pt>
                <c:pt idx="250">
                  <c:v>-10983102.191151056</c:v>
                </c:pt>
                <c:pt idx="251">
                  <c:v>-514535.33850163966</c:v>
                </c:pt>
                <c:pt idx="252">
                  <c:v>1001460.2404271327</c:v>
                </c:pt>
                <c:pt idx="253">
                  <c:v>-2823061.6597261131</c:v>
                </c:pt>
                <c:pt idx="254">
                  <c:v>-126420.54886987619</c:v>
                </c:pt>
                <c:pt idx="255">
                  <c:v>8352329.8942767978</c:v>
                </c:pt>
                <c:pt idx="256">
                  <c:v>-582948.24064521678</c:v>
                </c:pt>
                <c:pt idx="257">
                  <c:v>-15164489.702951385</c:v>
                </c:pt>
                <c:pt idx="258">
                  <c:v>8461190.7432091832</c:v>
                </c:pt>
                <c:pt idx="259">
                  <c:v>5606603.2400944252</c:v>
                </c:pt>
                <c:pt idx="260">
                  <c:v>264134.88256318867</c:v>
                </c:pt>
                <c:pt idx="261">
                  <c:v>129504.26761199348</c:v>
                </c:pt>
                <c:pt idx="262">
                  <c:v>-2969669.4083233196</c:v>
                </c:pt>
                <c:pt idx="263">
                  <c:v>5518233.9347721552</c:v>
                </c:pt>
                <c:pt idx="264">
                  <c:v>-15709862.607838549</c:v>
                </c:pt>
                <c:pt idx="265">
                  <c:v>3409162.4015460983</c:v>
                </c:pt>
                <c:pt idx="266">
                  <c:v>6017540.9008150287</c:v>
                </c:pt>
                <c:pt idx="267">
                  <c:v>1984366.4480220452</c:v>
                </c:pt>
                <c:pt idx="268">
                  <c:v>22382422.269139111</c:v>
                </c:pt>
                <c:pt idx="269">
                  <c:v>-899322.70217264444</c:v>
                </c:pt>
                <c:pt idx="270">
                  <c:v>-3660331.7813179102</c:v>
                </c:pt>
                <c:pt idx="271">
                  <c:v>-2706712.6907439567</c:v>
                </c:pt>
                <c:pt idx="272">
                  <c:v>-2120807.9344469588</c:v>
                </c:pt>
                <c:pt idx="273">
                  <c:v>-5218077.505822463</c:v>
                </c:pt>
                <c:pt idx="274">
                  <c:v>203854.2670282638</c:v>
                </c:pt>
                <c:pt idx="275">
                  <c:v>678748.48119925708</c:v>
                </c:pt>
                <c:pt idx="276">
                  <c:v>7968638.7236931249</c:v>
                </c:pt>
                <c:pt idx="277">
                  <c:v>-2286545.1041216142</c:v>
                </c:pt>
                <c:pt idx="278">
                  <c:v>21973779.753417306</c:v>
                </c:pt>
                <c:pt idx="279">
                  <c:v>-6362345.6138655841</c:v>
                </c:pt>
                <c:pt idx="280">
                  <c:v>-13244949.739416152</c:v>
                </c:pt>
                <c:pt idx="281">
                  <c:v>-2529243.1703717001</c:v>
                </c:pt>
                <c:pt idx="282">
                  <c:v>-10033776.296373568</c:v>
                </c:pt>
                <c:pt idx="283">
                  <c:v>-1605228.6493174431</c:v>
                </c:pt>
                <c:pt idx="284">
                  <c:v>946395.43415322923</c:v>
                </c:pt>
                <c:pt idx="285">
                  <c:v>-1630642.8921936257</c:v>
                </c:pt>
                <c:pt idx="286">
                  <c:v>-16044544.133007092</c:v>
                </c:pt>
                <c:pt idx="287">
                  <c:v>-2168703.1863574125</c:v>
                </c:pt>
                <c:pt idx="288">
                  <c:v>-6109741.6605570633</c:v>
                </c:pt>
                <c:pt idx="289">
                  <c:v>4482280.3055418432</c:v>
                </c:pt>
                <c:pt idx="290">
                  <c:v>-2227250.0052362978</c:v>
                </c:pt>
                <c:pt idx="291">
                  <c:v>-1699606.8338248974</c:v>
                </c:pt>
                <c:pt idx="292">
                  <c:v>850189.57795869932</c:v>
                </c:pt>
                <c:pt idx="293">
                  <c:v>3872590.3006924335</c:v>
                </c:pt>
                <c:pt idx="294">
                  <c:v>23383409.076559179</c:v>
                </c:pt>
                <c:pt idx="295">
                  <c:v>2649900.959743768</c:v>
                </c:pt>
                <c:pt idx="296">
                  <c:v>-6483673.8651499357</c:v>
                </c:pt>
                <c:pt idx="297">
                  <c:v>1714629.4496235363</c:v>
                </c:pt>
                <c:pt idx="298">
                  <c:v>-7083947.3350192402</c:v>
                </c:pt>
                <c:pt idx="299">
                  <c:v>-2752815.1848665848</c:v>
                </c:pt>
                <c:pt idx="300">
                  <c:v>1528453.6454101186</c:v>
                </c:pt>
                <c:pt idx="301">
                  <c:v>-2428773.9935094696</c:v>
                </c:pt>
                <c:pt idx="302">
                  <c:v>10222204.86390529</c:v>
                </c:pt>
                <c:pt idx="303">
                  <c:v>-2863825.4109469401</c:v>
                </c:pt>
                <c:pt idx="304">
                  <c:v>8878313.8062240724</c:v>
                </c:pt>
                <c:pt idx="305">
                  <c:v>2300539.197143591</c:v>
                </c:pt>
                <c:pt idx="306">
                  <c:v>-771719.44933150709</c:v>
                </c:pt>
                <c:pt idx="307">
                  <c:v>10435525.430106521</c:v>
                </c:pt>
                <c:pt idx="308">
                  <c:v>-8242365.4368581884</c:v>
                </c:pt>
                <c:pt idx="309">
                  <c:v>-745745.62005656585</c:v>
                </c:pt>
                <c:pt idx="310">
                  <c:v>-2405005.687072752</c:v>
                </c:pt>
                <c:pt idx="311">
                  <c:v>2404932.6677875798</c:v>
                </c:pt>
                <c:pt idx="312">
                  <c:v>-4056472.6739464775</c:v>
                </c:pt>
                <c:pt idx="313">
                  <c:v>-8834192.6012518387</c:v>
                </c:pt>
                <c:pt idx="314">
                  <c:v>-2528746.518672375</c:v>
                </c:pt>
                <c:pt idx="315">
                  <c:v>3285488.4567341805</c:v>
                </c:pt>
                <c:pt idx="316">
                  <c:v>-19481693.941964447</c:v>
                </c:pt>
                <c:pt idx="317">
                  <c:v>38061.436901292764</c:v>
                </c:pt>
                <c:pt idx="318">
                  <c:v>-15756970.020637991</c:v>
                </c:pt>
                <c:pt idx="319">
                  <c:v>2516243.0171889979</c:v>
                </c:pt>
                <c:pt idx="320">
                  <c:v>1106524.5302139169</c:v>
                </c:pt>
                <c:pt idx="321">
                  <c:v>5845769.7688208595</c:v>
                </c:pt>
                <c:pt idx="322">
                  <c:v>-11853427.948646126</c:v>
                </c:pt>
                <c:pt idx="323">
                  <c:v>801879.47303139395</c:v>
                </c:pt>
                <c:pt idx="324">
                  <c:v>-634115.43216682039</c:v>
                </c:pt>
                <c:pt idx="325">
                  <c:v>19451883.500226878</c:v>
                </c:pt>
                <c:pt idx="326">
                  <c:v>6007526.825012967</c:v>
                </c:pt>
                <c:pt idx="327">
                  <c:v>875814.78556711599</c:v>
                </c:pt>
                <c:pt idx="328">
                  <c:v>2300456.2227443159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6F-4DF4-A93C-9C7D82E87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595407"/>
        <c:axId val="1670597327"/>
      </c:scatterChart>
      <c:valAx>
        <c:axId val="1670595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6.85996376811594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0597327"/>
        <c:crosses val="autoZero"/>
        <c:crossBetween val="midCat"/>
      </c:valAx>
      <c:valAx>
        <c:axId val="16705973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059540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6.85996376811594 Line Fit  Plot</a:t>
            </a:r>
          </a:p>
        </c:rich>
      </c:tx>
      <c:layout>
        <c:manualLayout>
          <c:xMode val="edge"/>
          <c:yMode val="edge"/>
          <c:x val="0.11742180664916885"/>
          <c:y val="0.10273972602739725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PlayerStatistics_final!$I$3:$I$331</c:f>
              <c:numCache>
                <c:formatCode>General</c:formatCode>
                <c:ptCount val="329"/>
                <c:pt idx="0">
                  <c:v>17.426324503311299</c:v>
                </c:pt>
                <c:pt idx="1">
                  <c:v>6.6697885196374598</c:v>
                </c:pt>
                <c:pt idx="2">
                  <c:v>9.5794736842105301</c:v>
                </c:pt>
                <c:pt idx="3">
                  <c:v>9.8300248138957809</c:v>
                </c:pt>
                <c:pt idx="4">
                  <c:v>19.0151485148515</c:v>
                </c:pt>
                <c:pt idx="5">
                  <c:v>11.0379207920792</c:v>
                </c:pt>
                <c:pt idx="6">
                  <c:v>10.5410169491525</c:v>
                </c:pt>
                <c:pt idx="7">
                  <c:v>8.2125255623721891</c:v>
                </c:pt>
                <c:pt idx="8">
                  <c:v>23.88</c:v>
                </c:pt>
                <c:pt idx="9">
                  <c:v>5.7274606299212598</c:v>
                </c:pt>
                <c:pt idx="10">
                  <c:v>20.0803181818182</c:v>
                </c:pt>
                <c:pt idx="11">
                  <c:v>14.6348765432099</c:v>
                </c:pt>
                <c:pt idx="12">
                  <c:v>19.214677930306198</c:v>
                </c:pt>
                <c:pt idx="13">
                  <c:v>13.7845588235294</c:v>
                </c:pt>
                <c:pt idx="14">
                  <c:v>27.968934348239799</c:v>
                </c:pt>
                <c:pt idx="15">
                  <c:v>26.887676767676801</c:v>
                </c:pt>
                <c:pt idx="16">
                  <c:v>2.66703296703297</c:v>
                </c:pt>
                <c:pt idx="17">
                  <c:v>17.951190476190501</c:v>
                </c:pt>
                <c:pt idx="18">
                  <c:v>13.796666666666701</c:v>
                </c:pt>
                <c:pt idx="19">
                  <c:v>21.864193548387099</c:v>
                </c:pt>
                <c:pt idx="20">
                  <c:v>22.2808441558442</c:v>
                </c:pt>
                <c:pt idx="21">
                  <c:v>16.559574468085099</c:v>
                </c:pt>
                <c:pt idx="22">
                  <c:v>8.5891020052310392</c:v>
                </c:pt>
                <c:pt idx="23">
                  <c:v>5.5945147679324903</c:v>
                </c:pt>
                <c:pt idx="24">
                  <c:v>15.023903002309501</c:v>
                </c:pt>
                <c:pt idx="25">
                  <c:v>15.604815409309801</c:v>
                </c:pt>
                <c:pt idx="26">
                  <c:v>5.1236842105263198</c:v>
                </c:pt>
                <c:pt idx="27">
                  <c:v>8.1096816976127304</c:v>
                </c:pt>
                <c:pt idx="28">
                  <c:v>22.374921630094001</c:v>
                </c:pt>
                <c:pt idx="29">
                  <c:v>12.9552835051546</c:v>
                </c:pt>
                <c:pt idx="30">
                  <c:v>21.3405616224649</c:v>
                </c:pt>
                <c:pt idx="31">
                  <c:v>2.5692982456140401</c:v>
                </c:pt>
                <c:pt idx="32">
                  <c:v>18.464606328182501</c:v>
                </c:pt>
                <c:pt idx="33">
                  <c:v>12.2551554828151</c:v>
                </c:pt>
                <c:pt idx="34">
                  <c:v>4.4760964912280699</c:v>
                </c:pt>
                <c:pt idx="35">
                  <c:v>16.583932853716998</c:v>
                </c:pt>
                <c:pt idx="36">
                  <c:v>20.1592156862745</c:v>
                </c:pt>
                <c:pt idx="37">
                  <c:v>25.566721311475401</c:v>
                </c:pt>
                <c:pt idx="38">
                  <c:v>3.3681338028168999</c:v>
                </c:pt>
                <c:pt idx="39">
                  <c:v>9.6225708502024307</c:v>
                </c:pt>
                <c:pt idx="40">
                  <c:v>11.9349397590361</c:v>
                </c:pt>
                <c:pt idx="41">
                  <c:v>13.7130620985011</c:v>
                </c:pt>
                <c:pt idx="42">
                  <c:v>9.0740685543964208</c:v>
                </c:pt>
                <c:pt idx="43">
                  <c:v>16.528947368421001</c:v>
                </c:pt>
                <c:pt idx="44">
                  <c:v>5.1893867924528303</c:v>
                </c:pt>
                <c:pt idx="45">
                  <c:v>21.612440191387599</c:v>
                </c:pt>
                <c:pt idx="46">
                  <c:v>9.1604651162790702</c:v>
                </c:pt>
                <c:pt idx="47">
                  <c:v>24.133352501437599</c:v>
                </c:pt>
                <c:pt idx="48">
                  <c:v>11.468923076923099</c:v>
                </c:pt>
                <c:pt idx="49">
                  <c:v>4.5813253012048198</c:v>
                </c:pt>
                <c:pt idx="50">
                  <c:v>7.1308724832214798</c:v>
                </c:pt>
                <c:pt idx="51">
                  <c:v>17.478124999999999</c:v>
                </c:pt>
                <c:pt idx="52">
                  <c:v>17.7887423935091</c:v>
                </c:pt>
                <c:pt idx="53">
                  <c:v>8.8911854103343497</c:v>
                </c:pt>
                <c:pt idx="54">
                  <c:v>14.3660046728972</c:v>
                </c:pt>
                <c:pt idx="55">
                  <c:v>9.5399999999999991</c:v>
                </c:pt>
                <c:pt idx="56">
                  <c:v>18.1829</c:v>
                </c:pt>
                <c:pt idx="57">
                  <c:v>11.568607954545501</c:v>
                </c:pt>
                <c:pt idx="58">
                  <c:v>8.7509114583333307</c:v>
                </c:pt>
                <c:pt idx="59">
                  <c:v>19.301261034047901</c:v>
                </c:pt>
                <c:pt idx="60">
                  <c:v>3.23949579831933</c:v>
                </c:pt>
                <c:pt idx="61">
                  <c:v>7.0837096774193604</c:v>
                </c:pt>
                <c:pt idx="62">
                  <c:v>4.47575757575758</c:v>
                </c:pt>
                <c:pt idx="63">
                  <c:v>26.559266055045899</c:v>
                </c:pt>
                <c:pt idx="64">
                  <c:v>7.3042462845010601</c:v>
                </c:pt>
                <c:pt idx="65">
                  <c:v>12.8938735177866</c:v>
                </c:pt>
                <c:pt idx="66">
                  <c:v>10.2036962365591</c:v>
                </c:pt>
                <c:pt idx="67">
                  <c:v>21.178059071730001</c:v>
                </c:pt>
                <c:pt idx="68">
                  <c:v>6.4894736842105303</c:v>
                </c:pt>
                <c:pt idx="69">
                  <c:v>10.6488916256158</c:v>
                </c:pt>
                <c:pt idx="70">
                  <c:v>9.3720496894409902</c:v>
                </c:pt>
                <c:pt idx="71">
                  <c:v>24.875955414012701</c:v>
                </c:pt>
                <c:pt idx="72">
                  <c:v>15.2172727272727</c:v>
                </c:pt>
                <c:pt idx="73">
                  <c:v>12.257987551867201</c:v>
                </c:pt>
                <c:pt idx="74">
                  <c:v>12.9381012658228</c:v>
                </c:pt>
                <c:pt idx="75">
                  <c:v>22.861310782240999</c:v>
                </c:pt>
                <c:pt idx="76">
                  <c:v>7.6106971153846201</c:v>
                </c:pt>
                <c:pt idx="77">
                  <c:v>19.595229982964199</c:v>
                </c:pt>
                <c:pt idx="78">
                  <c:v>20.420033388981601</c:v>
                </c:pt>
                <c:pt idx="79">
                  <c:v>8.9125634517766503</c:v>
                </c:pt>
                <c:pt idx="80">
                  <c:v>17.132727272727301</c:v>
                </c:pt>
                <c:pt idx="81">
                  <c:v>17.1476224783862</c:v>
                </c:pt>
                <c:pt idx="82">
                  <c:v>20.6443661971831</c:v>
                </c:pt>
                <c:pt idx="83">
                  <c:v>24.441899766899802</c:v>
                </c:pt>
                <c:pt idx="84">
                  <c:v>16.3712201591512</c:v>
                </c:pt>
                <c:pt idx="85">
                  <c:v>15.4613893376414</c:v>
                </c:pt>
                <c:pt idx="86">
                  <c:v>24.6573469387755</c:v>
                </c:pt>
                <c:pt idx="87">
                  <c:v>6.7484693877551001</c:v>
                </c:pt>
                <c:pt idx="88">
                  <c:v>26.694155844155802</c:v>
                </c:pt>
                <c:pt idx="89">
                  <c:v>14.3685025817556</c:v>
                </c:pt>
                <c:pt idx="90">
                  <c:v>11.410618846694801</c:v>
                </c:pt>
                <c:pt idx="91">
                  <c:v>7.6320846905537501</c:v>
                </c:pt>
                <c:pt idx="92">
                  <c:v>17.943102040816299</c:v>
                </c:pt>
                <c:pt idx="93">
                  <c:v>7.6268738574040196</c:v>
                </c:pt>
                <c:pt idx="94">
                  <c:v>6.95066225165563</c:v>
                </c:pt>
                <c:pt idx="95">
                  <c:v>11.094749216300899</c:v>
                </c:pt>
                <c:pt idx="96">
                  <c:v>8.4399684873949603</c:v>
                </c:pt>
                <c:pt idx="97">
                  <c:v>14.8356890459364</c:v>
                </c:pt>
                <c:pt idx="98">
                  <c:v>13.793795620438001</c:v>
                </c:pt>
                <c:pt idx="99">
                  <c:v>23.297916666666701</c:v>
                </c:pt>
                <c:pt idx="100">
                  <c:v>22.0199140401146</c:v>
                </c:pt>
                <c:pt idx="101">
                  <c:v>17.734287709497199</c:v>
                </c:pt>
                <c:pt idx="102">
                  <c:v>7.7844943820224701</c:v>
                </c:pt>
                <c:pt idx="103">
                  <c:v>5.9652449324324301</c:v>
                </c:pt>
                <c:pt idx="104">
                  <c:v>5.7634657836644596</c:v>
                </c:pt>
                <c:pt idx="105">
                  <c:v>10.474509803921601</c:v>
                </c:pt>
                <c:pt idx="106">
                  <c:v>7.2816326530612301</c:v>
                </c:pt>
                <c:pt idx="107">
                  <c:v>7.50941011235955</c:v>
                </c:pt>
                <c:pt idx="108">
                  <c:v>30.5811436672968</c:v>
                </c:pt>
                <c:pt idx="109">
                  <c:v>10.165686274509801</c:v>
                </c:pt>
                <c:pt idx="110">
                  <c:v>8.7839851024208606</c:v>
                </c:pt>
                <c:pt idx="111">
                  <c:v>11.8573394495413</c:v>
                </c:pt>
                <c:pt idx="112">
                  <c:v>15.4902754590985</c:v>
                </c:pt>
                <c:pt idx="113">
                  <c:v>6.2514204545454497</c:v>
                </c:pt>
                <c:pt idx="114">
                  <c:v>16.618501170960201</c:v>
                </c:pt>
                <c:pt idx="115">
                  <c:v>10.2806451612903</c:v>
                </c:pt>
                <c:pt idx="116">
                  <c:v>11.948734177215201</c:v>
                </c:pt>
                <c:pt idx="117">
                  <c:v>8.0775244299674291</c:v>
                </c:pt>
                <c:pt idx="118">
                  <c:v>7.4776237623762398</c:v>
                </c:pt>
                <c:pt idx="119">
                  <c:v>13.126412776412799</c:v>
                </c:pt>
                <c:pt idx="120">
                  <c:v>14.639303797468401</c:v>
                </c:pt>
                <c:pt idx="121">
                  <c:v>2.3260416666666699</c:v>
                </c:pt>
                <c:pt idx="122">
                  <c:v>3.7610507246376801</c:v>
                </c:pt>
                <c:pt idx="123">
                  <c:v>25.990954773869301</c:v>
                </c:pt>
                <c:pt idx="124">
                  <c:v>7.2796296296296301</c:v>
                </c:pt>
                <c:pt idx="125">
                  <c:v>6.5958598726114603</c:v>
                </c:pt>
                <c:pt idx="126">
                  <c:v>16.753941908713699</c:v>
                </c:pt>
                <c:pt idx="127">
                  <c:v>14.027018633540401</c:v>
                </c:pt>
                <c:pt idx="128">
                  <c:v>2.4362264150943398</c:v>
                </c:pt>
                <c:pt idx="129">
                  <c:v>11.7191844300278</c:v>
                </c:pt>
                <c:pt idx="130">
                  <c:v>9.3309466019417506</c:v>
                </c:pt>
                <c:pt idx="131">
                  <c:v>9.2881632653061192</c:v>
                </c:pt>
                <c:pt idx="132">
                  <c:v>13.9335365853659</c:v>
                </c:pt>
                <c:pt idx="133">
                  <c:v>21.299157733537498</c:v>
                </c:pt>
                <c:pt idx="134">
                  <c:v>18.5769759450172</c:v>
                </c:pt>
                <c:pt idx="135">
                  <c:v>21.069881305637999</c:v>
                </c:pt>
                <c:pt idx="136">
                  <c:v>15.5579439252336</c:v>
                </c:pt>
                <c:pt idx="137">
                  <c:v>9.0877419354838693</c:v>
                </c:pt>
                <c:pt idx="138">
                  <c:v>15.442</c:v>
                </c:pt>
                <c:pt idx="139">
                  <c:v>22.309897610921499</c:v>
                </c:pt>
                <c:pt idx="140">
                  <c:v>4.0567204301075304</c:v>
                </c:pt>
                <c:pt idx="141">
                  <c:v>22.025035063113599</c:v>
                </c:pt>
                <c:pt idx="142">
                  <c:v>5.35890410958904</c:v>
                </c:pt>
                <c:pt idx="143">
                  <c:v>28.535043889263999</c:v>
                </c:pt>
                <c:pt idx="144">
                  <c:v>7.3390672782874598</c:v>
                </c:pt>
                <c:pt idx="145">
                  <c:v>6.8893617021276601</c:v>
                </c:pt>
                <c:pt idx="146">
                  <c:v>4.2206521739130398</c:v>
                </c:pt>
                <c:pt idx="147">
                  <c:v>9.1325153374233103</c:v>
                </c:pt>
                <c:pt idx="148">
                  <c:v>19.017246376811599</c:v>
                </c:pt>
                <c:pt idx="149">
                  <c:v>6.8969767441860501</c:v>
                </c:pt>
                <c:pt idx="150">
                  <c:v>7.9734375000000002</c:v>
                </c:pt>
                <c:pt idx="151">
                  <c:v>6.3446188340807197</c:v>
                </c:pt>
                <c:pt idx="152">
                  <c:v>21.075206124852802</c:v>
                </c:pt>
                <c:pt idx="153">
                  <c:v>8.45569395017794</c:v>
                </c:pt>
                <c:pt idx="154">
                  <c:v>27.093478260869599</c:v>
                </c:pt>
                <c:pt idx="155">
                  <c:v>12.529299156392</c:v>
                </c:pt>
                <c:pt idx="156">
                  <c:v>14.303450164293499</c:v>
                </c:pt>
                <c:pt idx="157">
                  <c:v>7.1132786885245904</c:v>
                </c:pt>
                <c:pt idx="158">
                  <c:v>14.0388888888889</c:v>
                </c:pt>
                <c:pt idx="159">
                  <c:v>3.8968992248062002</c:v>
                </c:pt>
                <c:pt idx="160">
                  <c:v>5.5643625192012296</c:v>
                </c:pt>
                <c:pt idx="161">
                  <c:v>6.9902035623409704</c:v>
                </c:pt>
                <c:pt idx="162">
                  <c:v>10.343939393939401</c:v>
                </c:pt>
                <c:pt idx="163">
                  <c:v>28.9016355140187</c:v>
                </c:pt>
                <c:pt idx="164">
                  <c:v>19.2605351170569</c:v>
                </c:pt>
                <c:pt idx="165">
                  <c:v>6.4741550695825101</c:v>
                </c:pt>
                <c:pt idx="166">
                  <c:v>5.61580310880829</c:v>
                </c:pt>
                <c:pt idx="167">
                  <c:v>18.341033568904599</c:v>
                </c:pt>
                <c:pt idx="168">
                  <c:v>9.9677696078431399</c:v>
                </c:pt>
                <c:pt idx="169">
                  <c:v>12.209455958549199</c:v>
                </c:pt>
                <c:pt idx="170">
                  <c:v>15.8637566137566</c:v>
                </c:pt>
                <c:pt idx="171">
                  <c:v>9.7115079365079406</c:v>
                </c:pt>
                <c:pt idx="172">
                  <c:v>5.4200883002207503</c:v>
                </c:pt>
                <c:pt idx="173">
                  <c:v>17.316793168880501</c:v>
                </c:pt>
                <c:pt idx="174">
                  <c:v>10.0861516034985</c:v>
                </c:pt>
                <c:pt idx="175">
                  <c:v>6.6337320574162701</c:v>
                </c:pt>
                <c:pt idx="176">
                  <c:v>22.438169014084501</c:v>
                </c:pt>
                <c:pt idx="177">
                  <c:v>7.4540189125295502</c:v>
                </c:pt>
                <c:pt idx="178">
                  <c:v>16.567238805970099</c:v>
                </c:pt>
                <c:pt idx="179">
                  <c:v>2.6749174917491798</c:v>
                </c:pt>
                <c:pt idx="180">
                  <c:v>7.9289655172413802</c:v>
                </c:pt>
                <c:pt idx="181">
                  <c:v>19.910995542347699</c:v>
                </c:pt>
                <c:pt idx="182">
                  <c:v>11.474901960784299</c:v>
                </c:pt>
                <c:pt idx="183">
                  <c:v>23.915828571428602</c:v>
                </c:pt>
                <c:pt idx="184">
                  <c:v>7.4490039840637499</c:v>
                </c:pt>
                <c:pt idx="185">
                  <c:v>2.3561797752808999</c:v>
                </c:pt>
                <c:pt idx="186">
                  <c:v>15.923487544484001</c:v>
                </c:pt>
                <c:pt idx="187">
                  <c:v>3.6546391752577301</c:v>
                </c:pt>
                <c:pt idx="188">
                  <c:v>28.062453987730098</c:v>
                </c:pt>
                <c:pt idx="189">
                  <c:v>23.459337944664</c:v>
                </c:pt>
                <c:pt idx="190">
                  <c:v>5.4396226415094304</c:v>
                </c:pt>
                <c:pt idx="191">
                  <c:v>16.838530465949798</c:v>
                </c:pt>
                <c:pt idx="192">
                  <c:v>16.842468619246901</c:v>
                </c:pt>
                <c:pt idx="193">
                  <c:v>12.9676119402985</c:v>
                </c:pt>
                <c:pt idx="194">
                  <c:v>8.7385338345864696</c:v>
                </c:pt>
                <c:pt idx="195">
                  <c:v>12.952600896861</c:v>
                </c:pt>
                <c:pt idx="196">
                  <c:v>7.3128787878787902</c:v>
                </c:pt>
                <c:pt idx="197">
                  <c:v>8.2932735426008897</c:v>
                </c:pt>
                <c:pt idx="198">
                  <c:v>3.7426573426573402</c:v>
                </c:pt>
                <c:pt idx="199">
                  <c:v>29.9165975103734</c:v>
                </c:pt>
                <c:pt idx="200">
                  <c:v>14.321989966555201</c:v>
                </c:pt>
                <c:pt idx="201">
                  <c:v>18.115033407572401</c:v>
                </c:pt>
                <c:pt idx="202">
                  <c:v>9.0718317972350206</c:v>
                </c:pt>
                <c:pt idx="203">
                  <c:v>19.155471887550199</c:v>
                </c:pt>
                <c:pt idx="204">
                  <c:v>18.785366894197999</c:v>
                </c:pt>
                <c:pt idx="205">
                  <c:v>11.985911602209899</c:v>
                </c:pt>
                <c:pt idx="206">
                  <c:v>20.745267175572501</c:v>
                </c:pt>
                <c:pt idx="207">
                  <c:v>10.9830366492147</c:v>
                </c:pt>
                <c:pt idx="208">
                  <c:v>18.849851411589899</c:v>
                </c:pt>
                <c:pt idx="209">
                  <c:v>18.504394141145099</c:v>
                </c:pt>
                <c:pt idx="210">
                  <c:v>24.933862704917999</c:v>
                </c:pt>
                <c:pt idx="211">
                  <c:v>26.615946843853798</c:v>
                </c:pt>
                <c:pt idx="212">
                  <c:v>5.3465014577259504</c:v>
                </c:pt>
                <c:pt idx="213">
                  <c:v>8.3768807339449491</c:v>
                </c:pt>
                <c:pt idx="214">
                  <c:v>20.655985267035</c:v>
                </c:pt>
                <c:pt idx="215">
                  <c:v>32.659960841899199</c:v>
                </c:pt>
                <c:pt idx="216">
                  <c:v>3.9080952380952398</c:v>
                </c:pt>
                <c:pt idx="217">
                  <c:v>4.3676271186440703</c:v>
                </c:pt>
                <c:pt idx="218">
                  <c:v>16.508505154639199</c:v>
                </c:pt>
                <c:pt idx="219">
                  <c:v>13.513803680981599</c:v>
                </c:pt>
                <c:pt idx="220">
                  <c:v>35.1685787671233</c:v>
                </c:pt>
                <c:pt idx="221">
                  <c:v>4.4299093655589097</c:v>
                </c:pt>
                <c:pt idx="222">
                  <c:v>10.570772946859901</c:v>
                </c:pt>
                <c:pt idx="223">
                  <c:v>6.6392628205128199</c:v>
                </c:pt>
                <c:pt idx="224">
                  <c:v>2.81666666666667</c:v>
                </c:pt>
                <c:pt idx="225">
                  <c:v>7.4</c:v>
                </c:pt>
                <c:pt idx="226">
                  <c:v>17.344057724957601</c:v>
                </c:pt>
                <c:pt idx="227">
                  <c:v>10.8780323450135</c:v>
                </c:pt>
                <c:pt idx="228">
                  <c:v>13.0688988095238</c:v>
                </c:pt>
                <c:pt idx="229">
                  <c:v>3.6268907563025201</c:v>
                </c:pt>
                <c:pt idx="230">
                  <c:v>15.5237485448196</c:v>
                </c:pt>
                <c:pt idx="231">
                  <c:v>15.3933862433862</c:v>
                </c:pt>
                <c:pt idx="232">
                  <c:v>13.2828125</c:v>
                </c:pt>
                <c:pt idx="233">
                  <c:v>10.3310449050086</c:v>
                </c:pt>
                <c:pt idx="234">
                  <c:v>13.157645403377099</c:v>
                </c:pt>
                <c:pt idx="235">
                  <c:v>6.3634241245136201</c:v>
                </c:pt>
                <c:pt idx="236">
                  <c:v>7.6366972477064197</c:v>
                </c:pt>
                <c:pt idx="237">
                  <c:v>11.893036529680399</c:v>
                </c:pt>
                <c:pt idx="238">
                  <c:v>8.9764261744966394</c:v>
                </c:pt>
                <c:pt idx="239">
                  <c:v>4.7819444444444397</c:v>
                </c:pt>
                <c:pt idx="240">
                  <c:v>17.9968390804598</c:v>
                </c:pt>
                <c:pt idx="241">
                  <c:v>17.743601089176298</c:v>
                </c:pt>
                <c:pt idx="242">
                  <c:v>7.2021739130434801</c:v>
                </c:pt>
                <c:pt idx="243">
                  <c:v>14.0001101321586</c:v>
                </c:pt>
                <c:pt idx="244">
                  <c:v>11.5272808586762</c:v>
                </c:pt>
                <c:pt idx="245">
                  <c:v>9.7020169851380107</c:v>
                </c:pt>
                <c:pt idx="246">
                  <c:v>7.94658018867925</c:v>
                </c:pt>
                <c:pt idx="247">
                  <c:v>9.5175126903553302</c:v>
                </c:pt>
                <c:pt idx="248">
                  <c:v>18.004534606205201</c:v>
                </c:pt>
                <c:pt idx="249">
                  <c:v>11.352277904328</c:v>
                </c:pt>
                <c:pt idx="250">
                  <c:v>14.5064575645756</c:v>
                </c:pt>
                <c:pt idx="251">
                  <c:v>6.4763888888888896</c:v>
                </c:pt>
                <c:pt idx="252">
                  <c:v>7.7595127610208801</c:v>
                </c:pt>
                <c:pt idx="253">
                  <c:v>10.8029772329247</c:v>
                </c:pt>
                <c:pt idx="254">
                  <c:v>13.707841068917</c:v>
                </c:pt>
                <c:pt idx="255">
                  <c:v>32.583653846153901</c:v>
                </c:pt>
                <c:pt idx="256">
                  <c:v>7.76642066420664</c:v>
                </c:pt>
                <c:pt idx="257">
                  <c:v>22.936596638655502</c:v>
                </c:pt>
                <c:pt idx="258">
                  <c:v>12.887412993039399</c:v>
                </c:pt>
                <c:pt idx="259">
                  <c:v>15.599537750385201</c:v>
                </c:pt>
                <c:pt idx="260">
                  <c:v>10.797013274336299</c:v>
                </c:pt>
                <c:pt idx="261">
                  <c:v>8.5804878048780502</c:v>
                </c:pt>
                <c:pt idx="262">
                  <c:v>14.338631090487199</c:v>
                </c:pt>
                <c:pt idx="263">
                  <c:v>4.9322869955156996</c:v>
                </c:pt>
                <c:pt idx="264">
                  <c:v>26.674339622641501</c:v>
                </c:pt>
                <c:pt idx="265">
                  <c:v>21.804716981132099</c:v>
                </c:pt>
                <c:pt idx="266">
                  <c:v>7.1766953713670603</c:v>
                </c:pt>
                <c:pt idx="267">
                  <c:v>11.8574175824176</c:v>
                </c:pt>
                <c:pt idx="268">
                  <c:v>23.525820379965499</c:v>
                </c:pt>
                <c:pt idx="269">
                  <c:v>6.6486286919831201</c:v>
                </c:pt>
                <c:pt idx="270">
                  <c:v>11.491603773584901</c:v>
                </c:pt>
                <c:pt idx="271">
                  <c:v>9.3758116883116909</c:v>
                </c:pt>
                <c:pt idx="272">
                  <c:v>10.623471615720501</c:v>
                </c:pt>
                <c:pt idx="273">
                  <c:v>11.852745664739899</c:v>
                </c:pt>
                <c:pt idx="274">
                  <c:v>5.5306306306306299</c:v>
                </c:pt>
                <c:pt idx="275">
                  <c:v>20.623012552301301</c:v>
                </c:pt>
                <c:pt idx="276">
                  <c:v>8.6522996057818702</c:v>
                </c:pt>
                <c:pt idx="277">
                  <c:v>12.0972739361702</c:v>
                </c:pt>
                <c:pt idx="278">
                  <c:v>20.244511070110701</c:v>
                </c:pt>
                <c:pt idx="279">
                  <c:v>14.2368191721133</c:v>
                </c:pt>
                <c:pt idx="280">
                  <c:v>27.9309554973822</c:v>
                </c:pt>
                <c:pt idx="281">
                  <c:v>8.6814903846153904</c:v>
                </c:pt>
                <c:pt idx="282">
                  <c:v>16.893750000000001</c:v>
                </c:pt>
                <c:pt idx="283">
                  <c:v>8.1978155339805792</c:v>
                </c:pt>
                <c:pt idx="284">
                  <c:v>6.1182089552238796</c:v>
                </c:pt>
                <c:pt idx="285">
                  <c:v>7.0434540389972096</c:v>
                </c:pt>
                <c:pt idx="286">
                  <c:v>24.5972222222222</c:v>
                </c:pt>
                <c:pt idx="287">
                  <c:v>9.3684666666666701</c:v>
                </c:pt>
                <c:pt idx="288">
                  <c:v>15.124280575539601</c:v>
                </c:pt>
                <c:pt idx="289">
                  <c:v>27.904765886287599</c:v>
                </c:pt>
                <c:pt idx="290">
                  <c:v>7.7339814814814796</c:v>
                </c:pt>
                <c:pt idx="291">
                  <c:v>8.4239726027397293</c:v>
                </c:pt>
                <c:pt idx="292">
                  <c:v>15.133697047496799</c:v>
                </c:pt>
                <c:pt idx="293">
                  <c:v>2.5025423728813601</c:v>
                </c:pt>
                <c:pt idx="294">
                  <c:v>27.6160133136095</c:v>
                </c:pt>
                <c:pt idx="295">
                  <c:v>14.583263816475499</c:v>
                </c:pt>
                <c:pt idx="296">
                  <c:v>11.2694035631294</c:v>
                </c:pt>
                <c:pt idx="297">
                  <c:v>9.6614219114219093</c:v>
                </c:pt>
                <c:pt idx="298">
                  <c:v>13.7189361702128</c:v>
                </c:pt>
                <c:pt idx="299">
                  <c:v>11.4882310984308</c:v>
                </c:pt>
                <c:pt idx="300">
                  <c:v>10.4909584086799</c:v>
                </c:pt>
                <c:pt idx="301">
                  <c:v>8.4078175895765508</c:v>
                </c:pt>
                <c:pt idx="302">
                  <c:v>15.5582541567696</c:v>
                </c:pt>
                <c:pt idx="303">
                  <c:v>8.2199831365935907</c:v>
                </c:pt>
                <c:pt idx="304">
                  <c:v>18.484115226337401</c:v>
                </c:pt>
                <c:pt idx="305">
                  <c:v>4.2328442437923304</c:v>
                </c:pt>
                <c:pt idx="306">
                  <c:v>7.4128487518355399</c:v>
                </c:pt>
                <c:pt idx="307">
                  <c:v>28.466295025729</c:v>
                </c:pt>
                <c:pt idx="308">
                  <c:v>12.342857142857101</c:v>
                </c:pt>
                <c:pt idx="309">
                  <c:v>8.9498344370860892</c:v>
                </c:pt>
                <c:pt idx="310">
                  <c:v>8.7482200647249204</c:v>
                </c:pt>
                <c:pt idx="311">
                  <c:v>3.8423728813559301</c:v>
                </c:pt>
                <c:pt idx="312">
                  <c:v>9.3146124523506995</c:v>
                </c:pt>
                <c:pt idx="313">
                  <c:v>12.345328399630001</c:v>
                </c:pt>
                <c:pt idx="314">
                  <c:v>9.1291540785498508</c:v>
                </c:pt>
                <c:pt idx="315">
                  <c:v>18.8970192307692</c:v>
                </c:pt>
                <c:pt idx="316">
                  <c:v>25.254591836734701</c:v>
                </c:pt>
                <c:pt idx="317">
                  <c:v>6.1685863874345603</c:v>
                </c:pt>
                <c:pt idx="318">
                  <c:v>21.155064655172399</c:v>
                </c:pt>
                <c:pt idx="319">
                  <c:v>11.0353179190751</c:v>
                </c:pt>
                <c:pt idx="320">
                  <c:v>6.0251724137930998</c:v>
                </c:pt>
                <c:pt idx="321">
                  <c:v>2.7189710610932498</c:v>
                </c:pt>
                <c:pt idx="322">
                  <c:v>16.877753303964798</c:v>
                </c:pt>
                <c:pt idx="323">
                  <c:v>5.8284708249496999</c:v>
                </c:pt>
                <c:pt idx="324">
                  <c:v>9.87240740740741</c:v>
                </c:pt>
                <c:pt idx="325">
                  <c:v>21.474479166666701</c:v>
                </c:pt>
                <c:pt idx="326">
                  <c:v>4.2334375</c:v>
                </c:pt>
                <c:pt idx="327">
                  <c:v>8.8268545994065306</c:v>
                </c:pt>
                <c:pt idx="328">
                  <c:v>25.216440677966101</c:v>
                </c:pt>
              </c:numCache>
            </c:numRef>
          </c:xVal>
          <c:yVal>
            <c:numRef>
              <c:f>PlayerStatistics_final!$K$3:$K$331</c:f>
              <c:numCache>
                <c:formatCode>General</c:formatCode>
                <c:ptCount val="329"/>
                <c:pt idx="0">
                  <c:v>21266182</c:v>
                </c:pt>
                <c:pt idx="1">
                  <c:v>656058.33333333302</c:v>
                </c:pt>
                <c:pt idx="2">
                  <c:v>5758622.6666666698</c:v>
                </c:pt>
                <c:pt idx="3">
                  <c:v>1796070.66666667</c:v>
                </c:pt>
                <c:pt idx="4">
                  <c:v>15333333.3333333</c:v>
                </c:pt>
                <c:pt idx="5">
                  <c:v>6834133.3333333302</c:v>
                </c:pt>
                <c:pt idx="6">
                  <c:v>9460000</c:v>
                </c:pt>
                <c:pt idx="7">
                  <c:v>1306200</c:v>
                </c:pt>
                <c:pt idx="8">
                  <c:v>4112098</c:v>
                </c:pt>
                <c:pt idx="9">
                  <c:v>3666666.6666666698</c:v>
                </c:pt>
                <c:pt idx="10">
                  <c:v>2186666.6666666698</c:v>
                </c:pt>
                <c:pt idx="11">
                  <c:v>2131905</c:v>
                </c:pt>
                <c:pt idx="12">
                  <c:v>28074637.666666701</c:v>
                </c:pt>
                <c:pt idx="13">
                  <c:v>24107143</c:v>
                </c:pt>
                <c:pt idx="14">
                  <c:v>40600080</c:v>
                </c:pt>
                <c:pt idx="15">
                  <c:v>13954493.3333333</c:v>
                </c:pt>
                <c:pt idx="16">
                  <c:v>1277776</c:v>
                </c:pt>
                <c:pt idx="17">
                  <c:v>521172.66666666698</c:v>
                </c:pt>
                <c:pt idx="18">
                  <c:v>521172.66666666698</c:v>
                </c:pt>
                <c:pt idx="19">
                  <c:v>32600060</c:v>
                </c:pt>
                <c:pt idx="20">
                  <c:v>37893408</c:v>
                </c:pt>
                <c:pt idx="21">
                  <c:v>6916200</c:v>
                </c:pt>
                <c:pt idx="22">
                  <c:v>968617</c:v>
                </c:pt>
                <c:pt idx="23">
                  <c:v>2504800</c:v>
                </c:pt>
                <c:pt idx="24">
                  <c:v>11710818</c:v>
                </c:pt>
                <c:pt idx="25">
                  <c:v>17986666.666666701</c:v>
                </c:pt>
                <c:pt idx="26">
                  <c:v>1466666.66666667</c:v>
                </c:pt>
                <c:pt idx="27">
                  <c:v>2888786.3333333302</c:v>
                </c:pt>
                <c:pt idx="28">
                  <c:v>46741590</c:v>
                </c:pt>
                <c:pt idx="29">
                  <c:v>9781306.3333333302</c:v>
                </c:pt>
                <c:pt idx="30">
                  <c:v>33833400</c:v>
                </c:pt>
                <c:pt idx="31">
                  <c:v>67267.333333333299</c:v>
                </c:pt>
                <c:pt idx="32">
                  <c:v>4635658.6666666698</c:v>
                </c:pt>
                <c:pt idx="33">
                  <c:v>4427316.6666666698</c:v>
                </c:pt>
                <c:pt idx="34">
                  <c:v>1733539.33333333</c:v>
                </c:pt>
                <c:pt idx="35">
                  <c:v>13485863.6666667</c:v>
                </c:pt>
                <c:pt idx="36">
                  <c:v>34156378.333333299</c:v>
                </c:pt>
                <c:pt idx="37">
                  <c:v>11849656.3333333</c:v>
                </c:pt>
                <c:pt idx="38">
                  <c:v>2006566.33333333</c:v>
                </c:pt>
                <c:pt idx="39">
                  <c:v>6802950</c:v>
                </c:pt>
                <c:pt idx="40">
                  <c:v>2806523</c:v>
                </c:pt>
                <c:pt idx="41">
                  <c:v>4649477.3333333302</c:v>
                </c:pt>
                <c:pt idx="42">
                  <c:v>4166666.6666666698</c:v>
                </c:pt>
                <c:pt idx="43">
                  <c:v>6265432</c:v>
                </c:pt>
                <c:pt idx="44">
                  <c:v>2591580.6666666698</c:v>
                </c:pt>
                <c:pt idx="45">
                  <c:v>10385960</c:v>
                </c:pt>
                <c:pt idx="46">
                  <c:v>11750000</c:v>
                </c:pt>
                <c:pt idx="47" formatCode="0.00E+00">
                  <c:v>30000000</c:v>
                </c:pt>
                <c:pt idx="48">
                  <c:v>2949120</c:v>
                </c:pt>
                <c:pt idx="49">
                  <c:v>1746521</c:v>
                </c:pt>
                <c:pt idx="50">
                  <c:v>5366587.6666666698</c:v>
                </c:pt>
                <c:pt idx="51">
                  <c:v>20362725.333333299</c:v>
                </c:pt>
                <c:pt idx="52">
                  <c:v>5785356</c:v>
                </c:pt>
                <c:pt idx="53">
                  <c:v>7560000</c:v>
                </c:pt>
                <c:pt idx="54">
                  <c:v>5632683.6666666698</c:v>
                </c:pt>
                <c:pt idx="55">
                  <c:v>756881</c:v>
                </c:pt>
                <c:pt idx="56">
                  <c:v>17391666.666666701</c:v>
                </c:pt>
                <c:pt idx="57">
                  <c:v>4326922.3333333302</c:v>
                </c:pt>
                <c:pt idx="58">
                  <c:v>1718500</c:v>
                </c:pt>
                <c:pt idx="59">
                  <c:v>10459250</c:v>
                </c:pt>
                <c:pt idx="60">
                  <c:v>955329.33333333302</c:v>
                </c:pt>
                <c:pt idx="61">
                  <c:v>521172.66666666698</c:v>
                </c:pt>
                <c:pt idx="62">
                  <c:v>3350880</c:v>
                </c:pt>
                <c:pt idx="63">
                  <c:v>45640084</c:v>
                </c:pt>
                <c:pt idx="64">
                  <c:v>711092.66666666698</c:v>
                </c:pt>
                <c:pt idx="65">
                  <c:v>9242280.3333333302</c:v>
                </c:pt>
                <c:pt idx="66">
                  <c:v>3080000</c:v>
                </c:pt>
                <c:pt idx="67">
                  <c:v>26200264.666666701</c:v>
                </c:pt>
                <c:pt idx="68">
                  <c:v>2718040</c:v>
                </c:pt>
                <c:pt idx="69">
                  <c:v>5449439</c:v>
                </c:pt>
                <c:pt idx="70">
                  <c:v>2769547.3333333302</c:v>
                </c:pt>
                <c:pt idx="71">
                  <c:v>32600060</c:v>
                </c:pt>
                <c:pt idx="72">
                  <c:v>17207198.666666701</c:v>
                </c:pt>
                <c:pt idx="73">
                  <c:v>5416666.6666666698</c:v>
                </c:pt>
                <c:pt idx="74">
                  <c:v>3577919.3333333302</c:v>
                </c:pt>
                <c:pt idx="75">
                  <c:v>18633333.333333299</c:v>
                </c:pt>
                <c:pt idx="76">
                  <c:v>4602408.3333333302</c:v>
                </c:pt>
                <c:pt idx="77">
                  <c:v>32459438</c:v>
                </c:pt>
                <c:pt idx="78">
                  <c:v>11761706.6666667</c:v>
                </c:pt>
                <c:pt idx="79">
                  <c:v>5333333.3333333302</c:v>
                </c:pt>
                <c:pt idx="80">
                  <c:v>6555322.3333333302</c:v>
                </c:pt>
                <c:pt idx="81">
                  <c:v>18357143</c:v>
                </c:pt>
                <c:pt idx="82">
                  <c:v>3914316</c:v>
                </c:pt>
                <c:pt idx="83">
                  <c:v>39966533.333333299</c:v>
                </c:pt>
                <c:pt idx="84">
                  <c:v>6128477.6666666698</c:v>
                </c:pt>
                <c:pt idx="85">
                  <c:v>3800000</c:v>
                </c:pt>
                <c:pt idx="86">
                  <c:v>14366666.6666667</c:v>
                </c:pt>
                <c:pt idx="87">
                  <c:v>756881</c:v>
                </c:pt>
                <c:pt idx="88">
                  <c:v>33162030</c:v>
                </c:pt>
                <c:pt idx="89">
                  <c:v>3075000</c:v>
                </c:pt>
                <c:pt idx="90">
                  <c:v>13932007.6666667</c:v>
                </c:pt>
                <c:pt idx="91">
                  <c:v>9166666.6666666698</c:v>
                </c:pt>
                <c:pt idx="92">
                  <c:v>17797564</c:v>
                </c:pt>
                <c:pt idx="93">
                  <c:v>656058.33333333302</c:v>
                </c:pt>
                <c:pt idx="94">
                  <c:v>124785.66666666701</c:v>
                </c:pt>
                <c:pt idx="95">
                  <c:v>18154000</c:v>
                </c:pt>
                <c:pt idx="96">
                  <c:v>3693375</c:v>
                </c:pt>
                <c:pt idx="97">
                  <c:v>5784080</c:v>
                </c:pt>
                <c:pt idx="98">
                  <c:v>13495420.6666667</c:v>
                </c:pt>
                <c:pt idx="99">
                  <c:v>9529672.3333333302</c:v>
                </c:pt>
                <c:pt idx="100">
                  <c:v>5924697.3333333302</c:v>
                </c:pt>
                <c:pt idx="101">
                  <c:v>14691358</c:v>
                </c:pt>
                <c:pt idx="102">
                  <c:v>605225.66666666698</c:v>
                </c:pt>
                <c:pt idx="103">
                  <c:v>3518833.3333333302</c:v>
                </c:pt>
                <c:pt idx="104">
                  <c:v>2076751</c:v>
                </c:pt>
                <c:pt idx="105">
                  <c:v>8666666.6666666698</c:v>
                </c:pt>
                <c:pt idx="106">
                  <c:v>8715000</c:v>
                </c:pt>
                <c:pt idx="107">
                  <c:v>1155000</c:v>
                </c:pt>
                <c:pt idx="108">
                  <c:v>45640084</c:v>
                </c:pt>
                <c:pt idx="109">
                  <c:v>2481368.3333333302</c:v>
                </c:pt>
                <c:pt idx="110">
                  <c:v>3513925</c:v>
                </c:pt>
                <c:pt idx="111">
                  <c:v>5950000</c:v>
                </c:pt>
                <c:pt idx="112">
                  <c:v>6117424.3333333302</c:v>
                </c:pt>
                <c:pt idx="113">
                  <c:v>1218258.33333333</c:v>
                </c:pt>
                <c:pt idx="114">
                  <c:v>4205264</c:v>
                </c:pt>
                <c:pt idx="115">
                  <c:v>9263549.3333333302</c:v>
                </c:pt>
                <c:pt idx="116">
                  <c:v>6033333.3333333302</c:v>
                </c:pt>
                <c:pt idx="117">
                  <c:v>3235140</c:v>
                </c:pt>
                <c:pt idx="118">
                  <c:v>1999440.33333333</c:v>
                </c:pt>
                <c:pt idx="119">
                  <c:v>5366588</c:v>
                </c:pt>
                <c:pt idx="120">
                  <c:v>10933333.3333333</c:v>
                </c:pt>
                <c:pt idx="121">
                  <c:v>756881</c:v>
                </c:pt>
                <c:pt idx="122">
                  <c:v>1796070.66666667</c:v>
                </c:pt>
                <c:pt idx="123">
                  <c:v>27266480</c:v>
                </c:pt>
                <c:pt idx="124">
                  <c:v>1585781.33333333</c:v>
                </c:pt>
                <c:pt idx="125">
                  <c:v>1585781.33333333</c:v>
                </c:pt>
                <c:pt idx="126">
                  <c:v>7614640</c:v>
                </c:pt>
                <c:pt idx="127">
                  <c:v>3958641</c:v>
                </c:pt>
                <c:pt idx="128">
                  <c:v>2789934.3333333302</c:v>
                </c:pt>
                <c:pt idx="129">
                  <c:v>3394600</c:v>
                </c:pt>
                <c:pt idx="130">
                  <c:v>6876811.3333333302</c:v>
                </c:pt>
                <c:pt idx="131">
                  <c:v>3200080</c:v>
                </c:pt>
                <c:pt idx="132">
                  <c:v>3132716</c:v>
                </c:pt>
                <c:pt idx="133">
                  <c:v>26346666.333333299</c:v>
                </c:pt>
                <c:pt idx="134">
                  <c:v>4330600</c:v>
                </c:pt>
                <c:pt idx="135">
                  <c:v>10605456</c:v>
                </c:pt>
                <c:pt idx="136">
                  <c:v>3409635</c:v>
                </c:pt>
                <c:pt idx="137">
                  <c:v>5043773</c:v>
                </c:pt>
                <c:pt idx="138">
                  <c:v>7787595</c:v>
                </c:pt>
                <c:pt idx="139">
                  <c:v>4558640</c:v>
                </c:pt>
                <c:pt idx="140">
                  <c:v>756881</c:v>
                </c:pt>
                <c:pt idx="141">
                  <c:v>33833400</c:v>
                </c:pt>
                <c:pt idx="142">
                  <c:v>38995.333333333299</c:v>
                </c:pt>
                <c:pt idx="143">
                  <c:v>22880000</c:v>
                </c:pt>
                <c:pt idx="144">
                  <c:v>1280355.66666667</c:v>
                </c:pt>
                <c:pt idx="145">
                  <c:v>558218.33333333302</c:v>
                </c:pt>
                <c:pt idx="146">
                  <c:v>689613.66666666698</c:v>
                </c:pt>
                <c:pt idx="147">
                  <c:v>3024000</c:v>
                </c:pt>
                <c:pt idx="148" formatCode="0.00E+00">
                  <c:v>20000000</c:v>
                </c:pt>
                <c:pt idx="149">
                  <c:v>605225.66666666698</c:v>
                </c:pt>
                <c:pt idx="150">
                  <c:v>5324490.6666666698</c:v>
                </c:pt>
                <c:pt idx="151">
                  <c:v>38995.333333333299</c:v>
                </c:pt>
                <c:pt idx="152">
                  <c:v>20535714</c:v>
                </c:pt>
                <c:pt idx="153">
                  <c:v>2006566.33333333</c:v>
                </c:pt>
                <c:pt idx="154">
                  <c:v>32600060</c:v>
                </c:pt>
                <c:pt idx="155">
                  <c:v>1500000</c:v>
                </c:pt>
                <c:pt idx="156">
                  <c:v>6985000</c:v>
                </c:pt>
                <c:pt idx="157">
                  <c:v>1962866</c:v>
                </c:pt>
                <c:pt idx="158">
                  <c:v>5316840</c:v>
                </c:pt>
                <c:pt idx="159">
                  <c:v>1886694</c:v>
                </c:pt>
                <c:pt idx="160">
                  <c:v>2754981</c:v>
                </c:pt>
                <c:pt idx="161">
                  <c:v>521172.66666666698</c:v>
                </c:pt>
                <c:pt idx="162">
                  <c:v>2159666.6666666698</c:v>
                </c:pt>
                <c:pt idx="163">
                  <c:v>43722923.333333299</c:v>
                </c:pt>
                <c:pt idx="164">
                  <c:v>25140000</c:v>
                </c:pt>
                <c:pt idx="165">
                  <c:v>3621666.6666666698</c:v>
                </c:pt>
                <c:pt idx="166">
                  <c:v>756881</c:v>
                </c:pt>
                <c:pt idx="167">
                  <c:v>10045000</c:v>
                </c:pt>
                <c:pt idx="168">
                  <c:v>17400000</c:v>
                </c:pt>
                <c:pt idx="169">
                  <c:v>6462995.6666666698</c:v>
                </c:pt>
                <c:pt idx="170">
                  <c:v>9200000</c:v>
                </c:pt>
                <c:pt idx="171">
                  <c:v>1766815.33333333</c:v>
                </c:pt>
                <c:pt idx="172">
                  <c:v>1493333.33333333</c:v>
                </c:pt>
                <c:pt idx="173">
                  <c:v>20669514</c:v>
                </c:pt>
                <c:pt idx="174">
                  <c:v>1796070.66666667</c:v>
                </c:pt>
                <c:pt idx="175">
                  <c:v>3067991.6666666698</c:v>
                </c:pt>
                <c:pt idx="176">
                  <c:v>7075602.3333333302</c:v>
                </c:pt>
                <c:pt idx="177">
                  <c:v>4875251.6666666698</c:v>
                </c:pt>
                <c:pt idx="178">
                  <c:v>8640000</c:v>
                </c:pt>
                <c:pt idx="179">
                  <c:v>1585781.33333333</c:v>
                </c:pt>
                <c:pt idx="180">
                  <c:v>656058.33333333302</c:v>
                </c:pt>
                <c:pt idx="181">
                  <c:v>36861707</c:v>
                </c:pt>
                <c:pt idx="182">
                  <c:v>756881</c:v>
                </c:pt>
                <c:pt idx="183">
                  <c:v>25660800</c:v>
                </c:pt>
                <c:pt idx="184">
                  <c:v>927045.66666666698</c:v>
                </c:pt>
                <c:pt idx="185">
                  <c:v>11698.666666666701</c:v>
                </c:pt>
                <c:pt idx="186">
                  <c:v>16875000</c:v>
                </c:pt>
                <c:pt idx="187">
                  <c:v>3550218.3333333302</c:v>
                </c:pt>
                <c:pt idx="188">
                  <c:v>39966533.333333299</c:v>
                </c:pt>
                <c:pt idx="189">
                  <c:v>45640084</c:v>
                </c:pt>
                <c:pt idx="190">
                  <c:v>46794.666666666701</c:v>
                </c:pt>
                <c:pt idx="191">
                  <c:v>8409000</c:v>
                </c:pt>
                <c:pt idx="192">
                  <c:v>14291008</c:v>
                </c:pt>
                <c:pt idx="193">
                  <c:v>8333333.3333333302</c:v>
                </c:pt>
                <c:pt idx="194">
                  <c:v>4948000</c:v>
                </c:pt>
                <c:pt idx="195">
                  <c:v>14716608.6666667</c:v>
                </c:pt>
                <c:pt idx="196">
                  <c:v>756881</c:v>
                </c:pt>
                <c:pt idx="197">
                  <c:v>3321350.3333333302</c:v>
                </c:pt>
                <c:pt idx="198">
                  <c:v>1188620.66666667</c:v>
                </c:pt>
                <c:pt idx="199">
                  <c:v>47649432.666666701</c:v>
                </c:pt>
                <c:pt idx="200">
                  <c:v>15669643</c:v>
                </c:pt>
                <c:pt idx="201">
                  <c:v>10185656</c:v>
                </c:pt>
                <c:pt idx="202">
                  <c:v>8500000</c:v>
                </c:pt>
                <c:pt idx="203">
                  <c:v>26126942.666666701</c:v>
                </c:pt>
                <c:pt idx="204">
                  <c:v>27939840</c:v>
                </c:pt>
                <c:pt idx="205">
                  <c:v>1195495</c:v>
                </c:pt>
                <c:pt idx="206">
                  <c:v>23283200</c:v>
                </c:pt>
                <c:pt idx="207" formatCode="0.00E+00">
                  <c:v>6000000</c:v>
                </c:pt>
                <c:pt idx="208">
                  <c:v>8666666.6666666698</c:v>
                </c:pt>
                <c:pt idx="209">
                  <c:v>19338624.666666701</c:v>
                </c:pt>
                <c:pt idx="210">
                  <c:v>12972352.3333333</c:v>
                </c:pt>
                <c:pt idx="211">
                  <c:v>11275396</c:v>
                </c:pt>
                <c:pt idx="212">
                  <c:v>1237767.33333333</c:v>
                </c:pt>
                <c:pt idx="213">
                  <c:v>10250000</c:v>
                </c:pt>
                <c:pt idx="214">
                  <c:v>17259999</c:v>
                </c:pt>
                <c:pt idx="215">
                  <c:v>47202787</c:v>
                </c:pt>
                <c:pt idx="216">
                  <c:v>43135</c:v>
                </c:pt>
                <c:pt idx="217">
                  <c:v>1414924</c:v>
                </c:pt>
                <c:pt idx="218">
                  <c:v>20465116.333333299</c:v>
                </c:pt>
                <c:pt idx="219">
                  <c:v>15685185.3333333</c:v>
                </c:pt>
                <c:pt idx="220">
                  <c:v>40064220</c:v>
                </c:pt>
                <c:pt idx="221">
                  <c:v>756881</c:v>
                </c:pt>
                <c:pt idx="222">
                  <c:v>14424242.3333333</c:v>
                </c:pt>
                <c:pt idx="223">
                  <c:v>1515527.33333333</c:v>
                </c:pt>
                <c:pt idx="224">
                  <c:v>640869.33333333302</c:v>
                </c:pt>
                <c:pt idx="225">
                  <c:v>3071800</c:v>
                </c:pt>
                <c:pt idx="226">
                  <c:v>22533333.333333299</c:v>
                </c:pt>
                <c:pt idx="227">
                  <c:v>10694047</c:v>
                </c:pt>
                <c:pt idx="228">
                  <c:v>6472683</c:v>
                </c:pt>
                <c:pt idx="229">
                  <c:v>2609440</c:v>
                </c:pt>
                <c:pt idx="230">
                  <c:v>18583713.333333299</c:v>
                </c:pt>
                <c:pt idx="231">
                  <c:v>3908160</c:v>
                </c:pt>
                <c:pt idx="232">
                  <c:v>11166666.6666667</c:v>
                </c:pt>
                <c:pt idx="233">
                  <c:v>968617</c:v>
                </c:pt>
                <c:pt idx="234">
                  <c:v>3026805.6666666698</c:v>
                </c:pt>
                <c:pt idx="235">
                  <c:v>3551795.6666666698</c:v>
                </c:pt>
                <c:pt idx="236">
                  <c:v>912548.33333333302</c:v>
                </c:pt>
                <c:pt idx="237">
                  <c:v>605225.66666666698</c:v>
                </c:pt>
                <c:pt idx="238">
                  <c:v>10333333.3333333</c:v>
                </c:pt>
                <c:pt idx="239">
                  <c:v>352080</c:v>
                </c:pt>
                <c:pt idx="240">
                  <c:v>21700000</c:v>
                </c:pt>
                <c:pt idx="241">
                  <c:v>15680000</c:v>
                </c:pt>
                <c:pt idx="242">
                  <c:v>1133204.66666667</c:v>
                </c:pt>
                <c:pt idx="243">
                  <c:v>15681818</c:v>
                </c:pt>
                <c:pt idx="244">
                  <c:v>6308642</c:v>
                </c:pt>
                <c:pt idx="245">
                  <c:v>626240</c:v>
                </c:pt>
                <c:pt idx="246">
                  <c:v>4487303</c:v>
                </c:pt>
                <c:pt idx="247">
                  <c:v>756881</c:v>
                </c:pt>
                <c:pt idx="248">
                  <c:v>25333333.333333299</c:v>
                </c:pt>
                <c:pt idx="249">
                  <c:v>1237767.33333333</c:v>
                </c:pt>
                <c:pt idx="250">
                  <c:v>643560.33333333302</c:v>
                </c:pt>
                <c:pt idx="251">
                  <c:v>756881</c:v>
                </c:pt>
                <c:pt idx="252">
                  <c:v>3927540.3333333302</c:v>
                </c:pt>
                <c:pt idx="253">
                  <c:v>4027745</c:v>
                </c:pt>
                <c:pt idx="254">
                  <c:v>10470379</c:v>
                </c:pt>
                <c:pt idx="255">
                  <c:v>43290601</c:v>
                </c:pt>
                <c:pt idx="256">
                  <c:v>2352040</c:v>
                </c:pt>
                <c:pt idx="257">
                  <c:v>7333333.3333333302</c:v>
                </c:pt>
                <c:pt idx="258" formatCode="0.00E+00">
                  <c:v>18000000</c:v>
                </c:pt>
                <c:pt idx="259">
                  <c:v>18642857</c:v>
                </c:pt>
                <c:pt idx="260">
                  <c:v>7107250.6666666698</c:v>
                </c:pt>
                <c:pt idx="261">
                  <c:v>4114280</c:v>
                </c:pt>
                <c:pt idx="262">
                  <c:v>8440571</c:v>
                </c:pt>
                <c:pt idx="263">
                  <c:v>4798440</c:v>
                </c:pt>
                <c:pt idx="264">
                  <c:v>11608000</c:v>
                </c:pt>
                <c:pt idx="265">
                  <c:v>24447360</c:v>
                </c:pt>
                <c:pt idx="266">
                  <c:v>8192043.6666666698</c:v>
                </c:pt>
                <c:pt idx="267">
                  <c:v>10194936</c:v>
                </c:pt>
                <c:pt idx="268">
                  <c:v>45640084</c:v>
                </c:pt>
                <c:pt idx="269">
                  <c:v>594207</c:v>
                </c:pt>
                <c:pt idx="270">
                  <c:v>4078499.3333333302</c:v>
                </c:pt>
                <c:pt idx="271">
                  <c:v>2303680</c:v>
                </c:pt>
                <c:pt idx="272">
                  <c:v>4498515.6666666698</c:v>
                </c:pt>
                <c:pt idx="273">
                  <c:v>2986467.3333333302</c:v>
                </c:pt>
                <c:pt idx="274">
                  <c:v>255659.66666666701</c:v>
                </c:pt>
                <c:pt idx="275">
                  <c:v>20193068.666666701</c:v>
                </c:pt>
                <c:pt idx="276">
                  <c:v>12046020</c:v>
                </c:pt>
                <c:pt idx="277">
                  <c:v>6233333.3333333302</c:v>
                </c:pt>
                <c:pt idx="278" formatCode="0.00E+00">
                  <c:v>41000000</c:v>
                </c:pt>
                <c:pt idx="279">
                  <c:v>4916602.3333333302</c:v>
                </c:pt>
                <c:pt idx="280">
                  <c:v>15693393</c:v>
                </c:pt>
                <c:pt idx="281">
                  <c:v>1585781.33333333</c:v>
                </c:pt>
                <c:pt idx="282">
                  <c:v>4671440.3333333302</c:v>
                </c:pt>
                <c:pt idx="283">
                  <c:v>1886068.66666667</c:v>
                </c:pt>
                <c:pt idx="284">
                  <c:v>1755917.66666667</c:v>
                </c:pt>
                <c:pt idx="285">
                  <c:v>372037.33333333302</c:v>
                </c:pt>
                <c:pt idx="286">
                  <c:v>8594753.3333333302</c:v>
                </c:pt>
                <c:pt idx="287">
                  <c:v>2832217.6666666698</c:v>
                </c:pt>
                <c:pt idx="288">
                  <c:v>6313640</c:v>
                </c:pt>
                <c:pt idx="289">
                  <c:v>33386850</c:v>
                </c:pt>
                <c:pt idx="290">
                  <c:v>665906</c:v>
                </c:pt>
                <c:pt idx="291">
                  <c:v>2083333.33333333</c:v>
                </c:pt>
                <c:pt idx="292">
                  <c:v>13285714.3333333</c:v>
                </c:pt>
                <c:pt idx="293">
                  <c:v>19497.666666666701</c:v>
                </c:pt>
                <c:pt idx="294">
                  <c:v>51915615.333333299</c:v>
                </c:pt>
                <c:pt idx="295">
                  <c:v>14375609.6666667</c:v>
                </c:pt>
                <c:pt idx="296">
                  <c:v>968617</c:v>
                </c:pt>
                <c:pt idx="297">
                  <c:v>7093333.3333333302</c:v>
                </c:pt>
                <c:pt idx="298">
                  <c:v>3527160</c:v>
                </c:pt>
                <c:pt idx="299">
                  <c:v>4981666.6666666698</c:v>
                </c:pt>
                <c:pt idx="300">
                  <c:v>7976893.6666666698</c:v>
                </c:pt>
                <c:pt idx="301">
                  <c:v>1333333.33333333</c:v>
                </c:pt>
                <c:pt idx="302">
                  <c:v>23205221</c:v>
                </c:pt>
                <c:pt idx="303">
                  <c:v>656058.33333333302</c:v>
                </c:pt>
                <c:pt idx="304">
                  <c:v>25634400</c:v>
                </c:pt>
                <c:pt idx="305">
                  <c:v>678772.66666666698</c:v>
                </c:pt>
                <c:pt idx="306">
                  <c:v>1707317</c:v>
                </c:pt>
                <c:pt idx="307">
                  <c:v>40064220</c:v>
                </c:pt>
                <c:pt idx="308">
                  <c:v>594207</c:v>
                </c:pt>
                <c:pt idx="309">
                  <c:v>3715324.3333333302</c:v>
                </c:pt>
                <c:pt idx="310">
                  <c:v>1796070.66666667</c:v>
                </c:pt>
                <c:pt idx="311">
                  <c:v>279630.33333333302</c:v>
                </c:pt>
                <c:pt idx="312">
                  <c:v>875000</c:v>
                </c:pt>
                <c:pt idx="313">
                  <c:v>5566.6666666666697</c:v>
                </c:pt>
                <c:pt idx="314">
                  <c:v>2163566.6666666698</c:v>
                </c:pt>
                <c:pt idx="315">
                  <c:v>20574038.666666701</c:v>
                </c:pt>
                <c:pt idx="316">
                  <c:v>6005320.3333333302</c:v>
                </c:pt>
                <c:pt idx="317">
                  <c:v>912548.33333333302</c:v>
                </c:pt>
                <c:pt idx="318">
                  <c:v>4443462.6666666698</c:v>
                </c:pt>
                <c:pt idx="319">
                  <c:v>9666666.6666666698</c:v>
                </c:pt>
                <c:pt idx="320">
                  <c:v>1796070.66666667</c:v>
                </c:pt>
                <c:pt idx="321">
                  <c:v>2271774.6666666698</c:v>
                </c:pt>
                <c:pt idx="322">
                  <c:v>2831160</c:v>
                </c:pt>
                <c:pt idx="323">
                  <c:v>1237767.33333333</c:v>
                </c:pt>
                <c:pt idx="324">
                  <c:v>5016666.6666666698</c:v>
                </c:pt>
                <c:pt idx="325">
                  <c:v>40064220</c:v>
                </c:pt>
                <c:pt idx="326">
                  <c:v>4386525.3333333302</c:v>
                </c:pt>
                <c:pt idx="327">
                  <c:v>5178295</c:v>
                </c:pt>
                <c:pt idx="328">
                  <c:v>27738272.333333299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45-4F1C-B691-9A964BE501A0}"/>
            </c:ext>
          </c:extLst>
        </c:ser>
        <c:ser>
          <c:idx val="1"/>
          <c:order val="1"/>
          <c:tx>
            <c:v>Predicted 756881</c:v>
          </c:tx>
          <c:spPr>
            <a:ln w="38100">
              <a:noFill/>
            </a:ln>
          </c:spPr>
          <c:xVal>
            <c:numRef>
              <c:f>PlayerStatistics_final!$I$3:$I$331</c:f>
              <c:numCache>
                <c:formatCode>General</c:formatCode>
                <c:ptCount val="329"/>
                <c:pt idx="0">
                  <c:v>17.426324503311299</c:v>
                </c:pt>
                <c:pt idx="1">
                  <c:v>6.6697885196374598</c:v>
                </c:pt>
                <c:pt idx="2">
                  <c:v>9.5794736842105301</c:v>
                </c:pt>
                <c:pt idx="3">
                  <c:v>9.8300248138957809</c:v>
                </c:pt>
                <c:pt idx="4">
                  <c:v>19.0151485148515</c:v>
                </c:pt>
                <c:pt idx="5">
                  <c:v>11.0379207920792</c:v>
                </c:pt>
                <c:pt idx="6">
                  <c:v>10.5410169491525</c:v>
                </c:pt>
                <c:pt idx="7">
                  <c:v>8.2125255623721891</c:v>
                </c:pt>
                <c:pt idx="8">
                  <c:v>23.88</c:v>
                </c:pt>
                <c:pt idx="9">
                  <c:v>5.7274606299212598</c:v>
                </c:pt>
                <c:pt idx="10">
                  <c:v>20.0803181818182</c:v>
                </c:pt>
                <c:pt idx="11">
                  <c:v>14.6348765432099</c:v>
                </c:pt>
                <c:pt idx="12">
                  <c:v>19.214677930306198</c:v>
                </c:pt>
                <c:pt idx="13">
                  <c:v>13.7845588235294</c:v>
                </c:pt>
                <c:pt idx="14">
                  <c:v>27.968934348239799</c:v>
                </c:pt>
                <c:pt idx="15">
                  <c:v>26.887676767676801</c:v>
                </c:pt>
                <c:pt idx="16">
                  <c:v>2.66703296703297</c:v>
                </c:pt>
                <c:pt idx="17">
                  <c:v>17.951190476190501</c:v>
                </c:pt>
                <c:pt idx="18">
                  <c:v>13.796666666666701</c:v>
                </c:pt>
                <c:pt idx="19">
                  <c:v>21.864193548387099</c:v>
                </c:pt>
                <c:pt idx="20">
                  <c:v>22.2808441558442</c:v>
                </c:pt>
                <c:pt idx="21">
                  <c:v>16.559574468085099</c:v>
                </c:pt>
                <c:pt idx="22">
                  <c:v>8.5891020052310392</c:v>
                </c:pt>
                <c:pt idx="23">
                  <c:v>5.5945147679324903</c:v>
                </c:pt>
                <c:pt idx="24">
                  <c:v>15.023903002309501</c:v>
                </c:pt>
                <c:pt idx="25">
                  <c:v>15.604815409309801</c:v>
                </c:pt>
                <c:pt idx="26">
                  <c:v>5.1236842105263198</c:v>
                </c:pt>
                <c:pt idx="27">
                  <c:v>8.1096816976127304</c:v>
                </c:pt>
                <c:pt idx="28">
                  <c:v>22.374921630094001</c:v>
                </c:pt>
                <c:pt idx="29">
                  <c:v>12.9552835051546</c:v>
                </c:pt>
                <c:pt idx="30">
                  <c:v>21.3405616224649</c:v>
                </c:pt>
                <c:pt idx="31">
                  <c:v>2.5692982456140401</c:v>
                </c:pt>
                <c:pt idx="32">
                  <c:v>18.464606328182501</c:v>
                </c:pt>
                <c:pt idx="33">
                  <c:v>12.2551554828151</c:v>
                </c:pt>
                <c:pt idx="34">
                  <c:v>4.4760964912280699</c:v>
                </c:pt>
                <c:pt idx="35">
                  <c:v>16.583932853716998</c:v>
                </c:pt>
                <c:pt idx="36">
                  <c:v>20.1592156862745</c:v>
                </c:pt>
                <c:pt idx="37">
                  <c:v>25.566721311475401</c:v>
                </c:pt>
                <c:pt idx="38">
                  <c:v>3.3681338028168999</c:v>
                </c:pt>
                <c:pt idx="39">
                  <c:v>9.6225708502024307</c:v>
                </c:pt>
                <c:pt idx="40">
                  <c:v>11.9349397590361</c:v>
                </c:pt>
                <c:pt idx="41">
                  <c:v>13.7130620985011</c:v>
                </c:pt>
                <c:pt idx="42">
                  <c:v>9.0740685543964208</c:v>
                </c:pt>
                <c:pt idx="43">
                  <c:v>16.528947368421001</c:v>
                </c:pt>
                <c:pt idx="44">
                  <c:v>5.1893867924528303</c:v>
                </c:pt>
                <c:pt idx="45">
                  <c:v>21.612440191387599</c:v>
                </c:pt>
                <c:pt idx="46">
                  <c:v>9.1604651162790702</c:v>
                </c:pt>
                <c:pt idx="47">
                  <c:v>24.133352501437599</c:v>
                </c:pt>
                <c:pt idx="48">
                  <c:v>11.468923076923099</c:v>
                </c:pt>
                <c:pt idx="49">
                  <c:v>4.5813253012048198</c:v>
                </c:pt>
                <c:pt idx="50">
                  <c:v>7.1308724832214798</c:v>
                </c:pt>
                <c:pt idx="51">
                  <c:v>17.478124999999999</c:v>
                </c:pt>
                <c:pt idx="52">
                  <c:v>17.7887423935091</c:v>
                </c:pt>
                <c:pt idx="53">
                  <c:v>8.8911854103343497</c:v>
                </c:pt>
                <c:pt idx="54">
                  <c:v>14.3660046728972</c:v>
                </c:pt>
                <c:pt idx="55">
                  <c:v>9.5399999999999991</c:v>
                </c:pt>
                <c:pt idx="56">
                  <c:v>18.1829</c:v>
                </c:pt>
                <c:pt idx="57">
                  <c:v>11.568607954545501</c:v>
                </c:pt>
                <c:pt idx="58">
                  <c:v>8.7509114583333307</c:v>
                </c:pt>
                <c:pt idx="59">
                  <c:v>19.301261034047901</c:v>
                </c:pt>
                <c:pt idx="60">
                  <c:v>3.23949579831933</c:v>
                </c:pt>
                <c:pt idx="61">
                  <c:v>7.0837096774193604</c:v>
                </c:pt>
                <c:pt idx="62">
                  <c:v>4.47575757575758</c:v>
                </c:pt>
                <c:pt idx="63">
                  <c:v>26.559266055045899</c:v>
                </c:pt>
                <c:pt idx="64">
                  <c:v>7.3042462845010601</c:v>
                </c:pt>
                <c:pt idx="65">
                  <c:v>12.8938735177866</c:v>
                </c:pt>
                <c:pt idx="66">
                  <c:v>10.2036962365591</c:v>
                </c:pt>
                <c:pt idx="67">
                  <c:v>21.178059071730001</c:v>
                </c:pt>
                <c:pt idx="68">
                  <c:v>6.4894736842105303</c:v>
                </c:pt>
                <c:pt idx="69">
                  <c:v>10.6488916256158</c:v>
                </c:pt>
                <c:pt idx="70">
                  <c:v>9.3720496894409902</c:v>
                </c:pt>
                <c:pt idx="71">
                  <c:v>24.875955414012701</c:v>
                </c:pt>
                <c:pt idx="72">
                  <c:v>15.2172727272727</c:v>
                </c:pt>
                <c:pt idx="73">
                  <c:v>12.257987551867201</c:v>
                </c:pt>
                <c:pt idx="74">
                  <c:v>12.9381012658228</c:v>
                </c:pt>
                <c:pt idx="75">
                  <c:v>22.861310782240999</c:v>
                </c:pt>
                <c:pt idx="76">
                  <c:v>7.6106971153846201</c:v>
                </c:pt>
                <c:pt idx="77">
                  <c:v>19.595229982964199</c:v>
                </c:pt>
                <c:pt idx="78">
                  <c:v>20.420033388981601</c:v>
                </c:pt>
                <c:pt idx="79">
                  <c:v>8.9125634517766503</c:v>
                </c:pt>
                <c:pt idx="80">
                  <c:v>17.132727272727301</c:v>
                </c:pt>
                <c:pt idx="81">
                  <c:v>17.1476224783862</c:v>
                </c:pt>
                <c:pt idx="82">
                  <c:v>20.6443661971831</c:v>
                </c:pt>
                <c:pt idx="83">
                  <c:v>24.441899766899802</c:v>
                </c:pt>
                <c:pt idx="84">
                  <c:v>16.3712201591512</c:v>
                </c:pt>
                <c:pt idx="85">
                  <c:v>15.4613893376414</c:v>
                </c:pt>
                <c:pt idx="86">
                  <c:v>24.6573469387755</c:v>
                </c:pt>
                <c:pt idx="87">
                  <c:v>6.7484693877551001</c:v>
                </c:pt>
                <c:pt idx="88">
                  <c:v>26.694155844155802</c:v>
                </c:pt>
                <c:pt idx="89">
                  <c:v>14.3685025817556</c:v>
                </c:pt>
                <c:pt idx="90">
                  <c:v>11.410618846694801</c:v>
                </c:pt>
                <c:pt idx="91">
                  <c:v>7.6320846905537501</c:v>
                </c:pt>
                <c:pt idx="92">
                  <c:v>17.943102040816299</c:v>
                </c:pt>
                <c:pt idx="93">
                  <c:v>7.6268738574040196</c:v>
                </c:pt>
                <c:pt idx="94">
                  <c:v>6.95066225165563</c:v>
                </c:pt>
                <c:pt idx="95">
                  <c:v>11.094749216300899</c:v>
                </c:pt>
                <c:pt idx="96">
                  <c:v>8.4399684873949603</c:v>
                </c:pt>
                <c:pt idx="97">
                  <c:v>14.8356890459364</c:v>
                </c:pt>
                <c:pt idx="98">
                  <c:v>13.793795620438001</c:v>
                </c:pt>
                <c:pt idx="99">
                  <c:v>23.297916666666701</c:v>
                </c:pt>
                <c:pt idx="100">
                  <c:v>22.0199140401146</c:v>
                </c:pt>
                <c:pt idx="101">
                  <c:v>17.734287709497199</c:v>
                </c:pt>
                <c:pt idx="102">
                  <c:v>7.7844943820224701</c:v>
                </c:pt>
                <c:pt idx="103">
                  <c:v>5.9652449324324301</c:v>
                </c:pt>
                <c:pt idx="104">
                  <c:v>5.7634657836644596</c:v>
                </c:pt>
                <c:pt idx="105">
                  <c:v>10.474509803921601</c:v>
                </c:pt>
                <c:pt idx="106">
                  <c:v>7.2816326530612301</c:v>
                </c:pt>
                <c:pt idx="107">
                  <c:v>7.50941011235955</c:v>
                </c:pt>
                <c:pt idx="108">
                  <c:v>30.5811436672968</c:v>
                </c:pt>
                <c:pt idx="109">
                  <c:v>10.165686274509801</c:v>
                </c:pt>
                <c:pt idx="110">
                  <c:v>8.7839851024208606</c:v>
                </c:pt>
                <c:pt idx="111">
                  <c:v>11.8573394495413</c:v>
                </c:pt>
                <c:pt idx="112">
                  <c:v>15.4902754590985</c:v>
                </c:pt>
                <c:pt idx="113">
                  <c:v>6.2514204545454497</c:v>
                </c:pt>
                <c:pt idx="114">
                  <c:v>16.618501170960201</c:v>
                </c:pt>
                <c:pt idx="115">
                  <c:v>10.2806451612903</c:v>
                </c:pt>
                <c:pt idx="116">
                  <c:v>11.948734177215201</c:v>
                </c:pt>
                <c:pt idx="117">
                  <c:v>8.0775244299674291</c:v>
                </c:pt>
                <c:pt idx="118">
                  <c:v>7.4776237623762398</c:v>
                </c:pt>
                <c:pt idx="119">
                  <c:v>13.126412776412799</c:v>
                </c:pt>
                <c:pt idx="120">
                  <c:v>14.639303797468401</c:v>
                </c:pt>
                <c:pt idx="121">
                  <c:v>2.3260416666666699</c:v>
                </c:pt>
                <c:pt idx="122">
                  <c:v>3.7610507246376801</c:v>
                </c:pt>
                <c:pt idx="123">
                  <c:v>25.990954773869301</c:v>
                </c:pt>
                <c:pt idx="124">
                  <c:v>7.2796296296296301</c:v>
                </c:pt>
                <c:pt idx="125">
                  <c:v>6.5958598726114603</c:v>
                </c:pt>
                <c:pt idx="126">
                  <c:v>16.753941908713699</c:v>
                </c:pt>
                <c:pt idx="127">
                  <c:v>14.027018633540401</c:v>
                </c:pt>
                <c:pt idx="128">
                  <c:v>2.4362264150943398</c:v>
                </c:pt>
                <c:pt idx="129">
                  <c:v>11.7191844300278</c:v>
                </c:pt>
                <c:pt idx="130">
                  <c:v>9.3309466019417506</c:v>
                </c:pt>
                <c:pt idx="131">
                  <c:v>9.2881632653061192</c:v>
                </c:pt>
                <c:pt idx="132">
                  <c:v>13.9335365853659</c:v>
                </c:pt>
                <c:pt idx="133">
                  <c:v>21.299157733537498</c:v>
                </c:pt>
                <c:pt idx="134">
                  <c:v>18.5769759450172</c:v>
                </c:pt>
                <c:pt idx="135">
                  <c:v>21.069881305637999</c:v>
                </c:pt>
                <c:pt idx="136">
                  <c:v>15.5579439252336</c:v>
                </c:pt>
                <c:pt idx="137">
                  <c:v>9.0877419354838693</c:v>
                </c:pt>
                <c:pt idx="138">
                  <c:v>15.442</c:v>
                </c:pt>
                <c:pt idx="139">
                  <c:v>22.309897610921499</c:v>
                </c:pt>
                <c:pt idx="140">
                  <c:v>4.0567204301075304</c:v>
                </c:pt>
                <c:pt idx="141">
                  <c:v>22.025035063113599</c:v>
                </c:pt>
                <c:pt idx="142">
                  <c:v>5.35890410958904</c:v>
                </c:pt>
                <c:pt idx="143">
                  <c:v>28.535043889263999</c:v>
                </c:pt>
                <c:pt idx="144">
                  <c:v>7.3390672782874598</c:v>
                </c:pt>
                <c:pt idx="145">
                  <c:v>6.8893617021276601</c:v>
                </c:pt>
                <c:pt idx="146">
                  <c:v>4.2206521739130398</c:v>
                </c:pt>
                <c:pt idx="147">
                  <c:v>9.1325153374233103</c:v>
                </c:pt>
                <c:pt idx="148">
                  <c:v>19.017246376811599</c:v>
                </c:pt>
                <c:pt idx="149">
                  <c:v>6.8969767441860501</c:v>
                </c:pt>
                <c:pt idx="150">
                  <c:v>7.9734375000000002</c:v>
                </c:pt>
                <c:pt idx="151">
                  <c:v>6.3446188340807197</c:v>
                </c:pt>
                <c:pt idx="152">
                  <c:v>21.075206124852802</c:v>
                </c:pt>
                <c:pt idx="153">
                  <c:v>8.45569395017794</c:v>
                </c:pt>
                <c:pt idx="154">
                  <c:v>27.093478260869599</c:v>
                </c:pt>
                <c:pt idx="155">
                  <c:v>12.529299156392</c:v>
                </c:pt>
                <c:pt idx="156">
                  <c:v>14.303450164293499</c:v>
                </c:pt>
                <c:pt idx="157">
                  <c:v>7.1132786885245904</c:v>
                </c:pt>
                <c:pt idx="158">
                  <c:v>14.0388888888889</c:v>
                </c:pt>
                <c:pt idx="159">
                  <c:v>3.8968992248062002</c:v>
                </c:pt>
                <c:pt idx="160">
                  <c:v>5.5643625192012296</c:v>
                </c:pt>
                <c:pt idx="161">
                  <c:v>6.9902035623409704</c:v>
                </c:pt>
                <c:pt idx="162">
                  <c:v>10.343939393939401</c:v>
                </c:pt>
                <c:pt idx="163">
                  <c:v>28.9016355140187</c:v>
                </c:pt>
                <c:pt idx="164">
                  <c:v>19.2605351170569</c:v>
                </c:pt>
                <c:pt idx="165">
                  <c:v>6.4741550695825101</c:v>
                </c:pt>
                <c:pt idx="166">
                  <c:v>5.61580310880829</c:v>
                </c:pt>
                <c:pt idx="167">
                  <c:v>18.341033568904599</c:v>
                </c:pt>
                <c:pt idx="168">
                  <c:v>9.9677696078431399</c:v>
                </c:pt>
                <c:pt idx="169">
                  <c:v>12.209455958549199</c:v>
                </c:pt>
                <c:pt idx="170">
                  <c:v>15.8637566137566</c:v>
                </c:pt>
                <c:pt idx="171">
                  <c:v>9.7115079365079406</c:v>
                </c:pt>
                <c:pt idx="172">
                  <c:v>5.4200883002207503</c:v>
                </c:pt>
                <c:pt idx="173">
                  <c:v>17.316793168880501</c:v>
                </c:pt>
                <c:pt idx="174">
                  <c:v>10.0861516034985</c:v>
                </c:pt>
                <c:pt idx="175">
                  <c:v>6.6337320574162701</c:v>
                </c:pt>
                <c:pt idx="176">
                  <c:v>22.438169014084501</c:v>
                </c:pt>
                <c:pt idx="177">
                  <c:v>7.4540189125295502</c:v>
                </c:pt>
                <c:pt idx="178">
                  <c:v>16.567238805970099</c:v>
                </c:pt>
                <c:pt idx="179">
                  <c:v>2.6749174917491798</c:v>
                </c:pt>
                <c:pt idx="180">
                  <c:v>7.9289655172413802</c:v>
                </c:pt>
                <c:pt idx="181">
                  <c:v>19.910995542347699</c:v>
                </c:pt>
                <c:pt idx="182">
                  <c:v>11.474901960784299</c:v>
                </c:pt>
                <c:pt idx="183">
                  <c:v>23.915828571428602</c:v>
                </c:pt>
                <c:pt idx="184">
                  <c:v>7.4490039840637499</c:v>
                </c:pt>
                <c:pt idx="185">
                  <c:v>2.3561797752808999</c:v>
                </c:pt>
                <c:pt idx="186">
                  <c:v>15.923487544484001</c:v>
                </c:pt>
                <c:pt idx="187">
                  <c:v>3.6546391752577301</c:v>
                </c:pt>
                <c:pt idx="188">
                  <c:v>28.062453987730098</c:v>
                </c:pt>
                <c:pt idx="189">
                  <c:v>23.459337944664</c:v>
                </c:pt>
                <c:pt idx="190">
                  <c:v>5.4396226415094304</c:v>
                </c:pt>
                <c:pt idx="191">
                  <c:v>16.838530465949798</c:v>
                </c:pt>
                <c:pt idx="192">
                  <c:v>16.842468619246901</c:v>
                </c:pt>
                <c:pt idx="193">
                  <c:v>12.9676119402985</c:v>
                </c:pt>
                <c:pt idx="194">
                  <c:v>8.7385338345864696</c:v>
                </c:pt>
                <c:pt idx="195">
                  <c:v>12.952600896861</c:v>
                </c:pt>
                <c:pt idx="196">
                  <c:v>7.3128787878787902</c:v>
                </c:pt>
                <c:pt idx="197">
                  <c:v>8.2932735426008897</c:v>
                </c:pt>
                <c:pt idx="198">
                  <c:v>3.7426573426573402</c:v>
                </c:pt>
                <c:pt idx="199">
                  <c:v>29.9165975103734</c:v>
                </c:pt>
                <c:pt idx="200">
                  <c:v>14.321989966555201</c:v>
                </c:pt>
                <c:pt idx="201">
                  <c:v>18.115033407572401</c:v>
                </c:pt>
                <c:pt idx="202">
                  <c:v>9.0718317972350206</c:v>
                </c:pt>
                <c:pt idx="203">
                  <c:v>19.155471887550199</c:v>
                </c:pt>
                <c:pt idx="204">
                  <c:v>18.785366894197999</c:v>
                </c:pt>
                <c:pt idx="205">
                  <c:v>11.985911602209899</c:v>
                </c:pt>
                <c:pt idx="206">
                  <c:v>20.745267175572501</c:v>
                </c:pt>
                <c:pt idx="207">
                  <c:v>10.9830366492147</c:v>
                </c:pt>
                <c:pt idx="208">
                  <c:v>18.849851411589899</c:v>
                </c:pt>
                <c:pt idx="209">
                  <c:v>18.504394141145099</c:v>
                </c:pt>
                <c:pt idx="210">
                  <c:v>24.933862704917999</c:v>
                </c:pt>
                <c:pt idx="211">
                  <c:v>26.615946843853798</c:v>
                </c:pt>
                <c:pt idx="212">
                  <c:v>5.3465014577259504</c:v>
                </c:pt>
                <c:pt idx="213">
                  <c:v>8.3768807339449491</c:v>
                </c:pt>
                <c:pt idx="214">
                  <c:v>20.655985267035</c:v>
                </c:pt>
                <c:pt idx="215">
                  <c:v>32.659960841899199</c:v>
                </c:pt>
                <c:pt idx="216">
                  <c:v>3.9080952380952398</c:v>
                </c:pt>
                <c:pt idx="217">
                  <c:v>4.3676271186440703</c:v>
                </c:pt>
                <c:pt idx="218">
                  <c:v>16.508505154639199</c:v>
                </c:pt>
                <c:pt idx="219">
                  <c:v>13.513803680981599</c:v>
                </c:pt>
                <c:pt idx="220">
                  <c:v>35.1685787671233</c:v>
                </c:pt>
                <c:pt idx="221">
                  <c:v>4.4299093655589097</c:v>
                </c:pt>
                <c:pt idx="222">
                  <c:v>10.570772946859901</c:v>
                </c:pt>
                <c:pt idx="223">
                  <c:v>6.6392628205128199</c:v>
                </c:pt>
                <c:pt idx="224">
                  <c:v>2.81666666666667</c:v>
                </c:pt>
                <c:pt idx="225">
                  <c:v>7.4</c:v>
                </c:pt>
                <c:pt idx="226">
                  <c:v>17.344057724957601</c:v>
                </c:pt>
                <c:pt idx="227">
                  <c:v>10.8780323450135</c:v>
                </c:pt>
                <c:pt idx="228">
                  <c:v>13.0688988095238</c:v>
                </c:pt>
                <c:pt idx="229">
                  <c:v>3.6268907563025201</c:v>
                </c:pt>
                <c:pt idx="230">
                  <c:v>15.5237485448196</c:v>
                </c:pt>
                <c:pt idx="231">
                  <c:v>15.3933862433862</c:v>
                </c:pt>
                <c:pt idx="232">
                  <c:v>13.2828125</c:v>
                </c:pt>
                <c:pt idx="233">
                  <c:v>10.3310449050086</c:v>
                </c:pt>
                <c:pt idx="234">
                  <c:v>13.157645403377099</c:v>
                </c:pt>
                <c:pt idx="235">
                  <c:v>6.3634241245136201</c:v>
                </c:pt>
                <c:pt idx="236">
                  <c:v>7.6366972477064197</c:v>
                </c:pt>
                <c:pt idx="237">
                  <c:v>11.893036529680399</c:v>
                </c:pt>
                <c:pt idx="238">
                  <c:v>8.9764261744966394</c:v>
                </c:pt>
                <c:pt idx="239">
                  <c:v>4.7819444444444397</c:v>
                </c:pt>
                <c:pt idx="240">
                  <c:v>17.9968390804598</c:v>
                </c:pt>
                <c:pt idx="241">
                  <c:v>17.743601089176298</c:v>
                </c:pt>
                <c:pt idx="242">
                  <c:v>7.2021739130434801</c:v>
                </c:pt>
                <c:pt idx="243">
                  <c:v>14.0001101321586</c:v>
                </c:pt>
                <c:pt idx="244">
                  <c:v>11.5272808586762</c:v>
                </c:pt>
                <c:pt idx="245">
                  <c:v>9.7020169851380107</c:v>
                </c:pt>
                <c:pt idx="246">
                  <c:v>7.94658018867925</c:v>
                </c:pt>
                <c:pt idx="247">
                  <c:v>9.5175126903553302</c:v>
                </c:pt>
                <c:pt idx="248">
                  <c:v>18.004534606205201</c:v>
                </c:pt>
                <c:pt idx="249">
                  <c:v>11.352277904328</c:v>
                </c:pt>
                <c:pt idx="250">
                  <c:v>14.5064575645756</c:v>
                </c:pt>
                <c:pt idx="251">
                  <c:v>6.4763888888888896</c:v>
                </c:pt>
                <c:pt idx="252">
                  <c:v>7.7595127610208801</c:v>
                </c:pt>
                <c:pt idx="253">
                  <c:v>10.8029772329247</c:v>
                </c:pt>
                <c:pt idx="254">
                  <c:v>13.707841068917</c:v>
                </c:pt>
                <c:pt idx="255">
                  <c:v>32.583653846153901</c:v>
                </c:pt>
                <c:pt idx="256">
                  <c:v>7.76642066420664</c:v>
                </c:pt>
                <c:pt idx="257">
                  <c:v>22.936596638655502</c:v>
                </c:pt>
                <c:pt idx="258">
                  <c:v>12.887412993039399</c:v>
                </c:pt>
                <c:pt idx="259">
                  <c:v>15.599537750385201</c:v>
                </c:pt>
                <c:pt idx="260">
                  <c:v>10.797013274336299</c:v>
                </c:pt>
                <c:pt idx="261">
                  <c:v>8.5804878048780502</c:v>
                </c:pt>
                <c:pt idx="262">
                  <c:v>14.338631090487199</c:v>
                </c:pt>
                <c:pt idx="263">
                  <c:v>4.9322869955156996</c:v>
                </c:pt>
                <c:pt idx="264">
                  <c:v>26.674339622641501</c:v>
                </c:pt>
                <c:pt idx="265">
                  <c:v>21.804716981132099</c:v>
                </c:pt>
                <c:pt idx="266">
                  <c:v>7.1766953713670603</c:v>
                </c:pt>
                <c:pt idx="267">
                  <c:v>11.8574175824176</c:v>
                </c:pt>
                <c:pt idx="268">
                  <c:v>23.525820379965499</c:v>
                </c:pt>
                <c:pt idx="269">
                  <c:v>6.6486286919831201</c:v>
                </c:pt>
                <c:pt idx="270">
                  <c:v>11.491603773584901</c:v>
                </c:pt>
                <c:pt idx="271">
                  <c:v>9.3758116883116909</c:v>
                </c:pt>
                <c:pt idx="272">
                  <c:v>10.623471615720501</c:v>
                </c:pt>
                <c:pt idx="273">
                  <c:v>11.852745664739899</c:v>
                </c:pt>
                <c:pt idx="274">
                  <c:v>5.5306306306306299</c:v>
                </c:pt>
                <c:pt idx="275">
                  <c:v>20.623012552301301</c:v>
                </c:pt>
                <c:pt idx="276">
                  <c:v>8.6522996057818702</c:v>
                </c:pt>
                <c:pt idx="277">
                  <c:v>12.0972739361702</c:v>
                </c:pt>
                <c:pt idx="278">
                  <c:v>20.244511070110701</c:v>
                </c:pt>
                <c:pt idx="279">
                  <c:v>14.2368191721133</c:v>
                </c:pt>
                <c:pt idx="280">
                  <c:v>27.9309554973822</c:v>
                </c:pt>
                <c:pt idx="281">
                  <c:v>8.6814903846153904</c:v>
                </c:pt>
                <c:pt idx="282">
                  <c:v>16.893750000000001</c:v>
                </c:pt>
                <c:pt idx="283">
                  <c:v>8.1978155339805792</c:v>
                </c:pt>
                <c:pt idx="284">
                  <c:v>6.1182089552238796</c:v>
                </c:pt>
                <c:pt idx="285">
                  <c:v>7.0434540389972096</c:v>
                </c:pt>
                <c:pt idx="286">
                  <c:v>24.5972222222222</c:v>
                </c:pt>
                <c:pt idx="287">
                  <c:v>9.3684666666666701</c:v>
                </c:pt>
                <c:pt idx="288">
                  <c:v>15.124280575539601</c:v>
                </c:pt>
                <c:pt idx="289">
                  <c:v>27.904765886287599</c:v>
                </c:pt>
                <c:pt idx="290">
                  <c:v>7.7339814814814796</c:v>
                </c:pt>
                <c:pt idx="291">
                  <c:v>8.4239726027397293</c:v>
                </c:pt>
                <c:pt idx="292">
                  <c:v>15.133697047496799</c:v>
                </c:pt>
                <c:pt idx="293">
                  <c:v>2.5025423728813601</c:v>
                </c:pt>
                <c:pt idx="294">
                  <c:v>27.6160133136095</c:v>
                </c:pt>
                <c:pt idx="295">
                  <c:v>14.583263816475499</c:v>
                </c:pt>
                <c:pt idx="296">
                  <c:v>11.2694035631294</c:v>
                </c:pt>
                <c:pt idx="297">
                  <c:v>9.6614219114219093</c:v>
                </c:pt>
                <c:pt idx="298">
                  <c:v>13.7189361702128</c:v>
                </c:pt>
                <c:pt idx="299">
                  <c:v>11.4882310984308</c:v>
                </c:pt>
                <c:pt idx="300">
                  <c:v>10.4909584086799</c:v>
                </c:pt>
                <c:pt idx="301">
                  <c:v>8.4078175895765508</c:v>
                </c:pt>
                <c:pt idx="302">
                  <c:v>15.5582541567696</c:v>
                </c:pt>
                <c:pt idx="303">
                  <c:v>8.2199831365935907</c:v>
                </c:pt>
                <c:pt idx="304">
                  <c:v>18.484115226337401</c:v>
                </c:pt>
                <c:pt idx="305">
                  <c:v>4.2328442437923304</c:v>
                </c:pt>
                <c:pt idx="306">
                  <c:v>7.4128487518355399</c:v>
                </c:pt>
                <c:pt idx="307">
                  <c:v>28.466295025729</c:v>
                </c:pt>
                <c:pt idx="308">
                  <c:v>12.342857142857101</c:v>
                </c:pt>
                <c:pt idx="309">
                  <c:v>8.9498344370860892</c:v>
                </c:pt>
                <c:pt idx="310">
                  <c:v>8.7482200647249204</c:v>
                </c:pt>
                <c:pt idx="311">
                  <c:v>3.8423728813559301</c:v>
                </c:pt>
                <c:pt idx="312">
                  <c:v>9.3146124523506995</c:v>
                </c:pt>
                <c:pt idx="313">
                  <c:v>12.345328399630001</c:v>
                </c:pt>
                <c:pt idx="314">
                  <c:v>9.1291540785498508</c:v>
                </c:pt>
                <c:pt idx="315">
                  <c:v>18.8970192307692</c:v>
                </c:pt>
                <c:pt idx="316">
                  <c:v>25.254591836734701</c:v>
                </c:pt>
                <c:pt idx="317">
                  <c:v>6.1685863874345603</c:v>
                </c:pt>
                <c:pt idx="318">
                  <c:v>21.155064655172399</c:v>
                </c:pt>
                <c:pt idx="319">
                  <c:v>11.0353179190751</c:v>
                </c:pt>
                <c:pt idx="320">
                  <c:v>6.0251724137930998</c:v>
                </c:pt>
                <c:pt idx="321">
                  <c:v>2.7189710610932498</c:v>
                </c:pt>
                <c:pt idx="322">
                  <c:v>16.877753303964798</c:v>
                </c:pt>
                <c:pt idx="323">
                  <c:v>5.8284708249496999</c:v>
                </c:pt>
                <c:pt idx="324">
                  <c:v>9.87240740740741</c:v>
                </c:pt>
                <c:pt idx="325">
                  <c:v>21.474479166666701</c:v>
                </c:pt>
                <c:pt idx="326">
                  <c:v>4.2334375</c:v>
                </c:pt>
                <c:pt idx="327">
                  <c:v>8.8268545994065306</c:v>
                </c:pt>
                <c:pt idx="328">
                  <c:v>25.216440677966101</c:v>
                </c:pt>
              </c:numCache>
            </c:numRef>
          </c:xVal>
          <c:yVal>
            <c:numRef>
              <c:f>PlayerStatistics_final!$U$26:$U$354</c:f>
              <c:numCache>
                <c:formatCode>General</c:formatCode>
                <c:ptCount val="329"/>
                <c:pt idx="0">
                  <c:v>15392002.797658866</c:v>
                </c:pt>
                <c:pt idx="1">
                  <c:v>1520816.5453446209</c:v>
                </c:pt>
                <c:pt idx="2">
                  <c:v>5273026.8214639835</c:v>
                </c:pt>
                <c:pt idx="3">
                  <c:v>5596127.2499724589</c:v>
                </c:pt>
                <c:pt idx="4">
                  <c:v>17440884.874535061</c:v>
                </c:pt>
                <c:pt idx="5">
                  <c:v>7153780.2074147072</c:v>
                </c:pt>
                <c:pt idx="6">
                  <c:v>6512993.4555097669</c:v>
                </c:pt>
                <c:pt idx="7">
                  <c:v>3510266.7633886077</c:v>
                </c:pt>
                <c:pt idx="8">
                  <c:v>23714397.196974628</c:v>
                </c:pt>
                <c:pt idx="9">
                  <c:v>305629.26861882396</c:v>
                </c:pt>
                <c:pt idx="10">
                  <c:v>18814483.853168726</c:v>
                </c:pt>
                <c:pt idx="11">
                  <c:v>11792266.355836047</c:v>
                </c:pt>
                <c:pt idx="12">
                  <c:v>17698189.799539573</c:v>
                </c:pt>
                <c:pt idx="13">
                  <c:v>10695731.608847467</c:v>
                </c:pt>
                <c:pt idx="14">
                  <c:v>28987318.702932119</c:v>
                </c:pt>
                <c:pt idx="15">
                  <c:v>27592973.412823826</c:v>
                </c:pt>
                <c:pt idx="16">
                  <c:v>-3640972.3313842919</c:v>
                </c:pt>
                <c:pt idx="17">
                  <c:v>16068848.361914849</c:v>
                </c:pt>
                <c:pt idx="18">
                  <c:v>10711345.385208761</c:v>
                </c:pt>
                <c:pt idx="19">
                  <c:v>21114896.132563271</c:v>
                </c:pt>
                <c:pt idx="20">
                  <c:v>21652191.613836169</c:v>
                </c:pt>
                <c:pt idx="21">
                  <c:v>14274277.612611307</c:v>
                </c:pt>
                <c:pt idx="22">
                  <c:v>3995884.2507523224</c:v>
                </c:pt>
                <c:pt idx="23">
                  <c:v>134187.75474115275</c:v>
                </c:pt>
                <c:pt idx="24">
                  <c:v>12293938.871917365</c:v>
                </c:pt>
                <c:pt idx="25">
                  <c:v>13043059.611717945</c:v>
                </c:pt>
                <c:pt idx="26">
                  <c:v>-472975.96088017523</c:v>
                </c:pt>
                <c:pt idx="27">
                  <c:v>3377643.5466623772</c:v>
                </c:pt>
                <c:pt idx="28">
                  <c:v>21773510.054033548</c:v>
                </c:pt>
                <c:pt idx="29">
                  <c:v>9626332.2768428866</c:v>
                </c:pt>
                <c:pt idx="30">
                  <c:v>20439641.944491088</c:v>
                </c:pt>
                <c:pt idx="31">
                  <c:v>-3767007.0070621944</c:v>
                </c:pt>
                <c:pt idx="32">
                  <c:v>16730928.32136284</c:v>
                </c:pt>
                <c:pt idx="33">
                  <c:v>8723475.9843453933</c:v>
                </c:pt>
                <c:pt idx="34">
                  <c:v>-1308078.4402221711</c:v>
                </c:pt>
                <c:pt idx="35">
                  <c:v>14305689.184554042</c:v>
                </c:pt>
                <c:pt idx="36">
                  <c:v>18916226.828864358</c:v>
                </c:pt>
                <c:pt idx="37">
                  <c:v>25889523.604094401</c:v>
                </c:pt>
                <c:pt idx="38">
                  <c:v>-2736861.5386929708</c:v>
                </c:pt>
                <c:pt idx="39">
                  <c:v>5328603.1535961777</c:v>
                </c:pt>
                <c:pt idx="40">
                  <c:v>8310538.9614785705</c:v>
                </c:pt>
                <c:pt idx="41">
                  <c:v>10603532.373814618</c:v>
                </c:pt>
                <c:pt idx="42">
                  <c:v>4621277.1597543824</c:v>
                </c:pt>
                <c:pt idx="43">
                  <c:v>14234782.164964063</c:v>
                </c:pt>
                <c:pt idx="44">
                  <c:v>-388248.61440507974</c:v>
                </c:pt>
                <c:pt idx="45">
                  <c:v>20790245.361173131</c:v>
                </c:pt>
                <c:pt idx="46">
                  <c:v>4732690.6113760546</c:v>
                </c:pt>
                <c:pt idx="47">
                  <c:v>24041110.159239113</c:v>
                </c:pt>
                <c:pt idx="48">
                  <c:v>7709583.0213798024</c:v>
                </c:pt>
                <c:pt idx="49">
                  <c:v>-1172379.6962666521</c:v>
                </c:pt>
                <c:pt idx="50">
                  <c:v>2115411.4545734525</c:v>
                </c:pt>
                <c:pt idx="51">
                  <c:v>15458802.586979697</c:v>
                </c:pt>
                <c:pt idx="52">
                  <c:v>15859361.998031052</c:v>
                </c:pt>
                <c:pt idx="53">
                  <c:v>4385438.5814663414</c:v>
                </c:pt>
                <c:pt idx="54">
                  <c:v>11445540.253977953</c:v>
                </c:pt>
                <c:pt idx="55">
                  <c:v>5222123.1823574565</c:v>
                </c:pt>
                <c:pt idx="56">
                  <c:v>16367651.430679264</c:v>
                </c:pt>
                <c:pt idx="57">
                  <c:v>7838132.5382631365</c:v>
                </c:pt>
                <c:pt idx="58">
                  <c:v>4204547.064205803</c:v>
                </c:pt>
                <c:pt idx="59">
                  <c:v>17809843.807867855</c:v>
                </c:pt>
                <c:pt idx="60">
                  <c:v>-2902747.8167865979</c:v>
                </c:pt>
                <c:pt idx="61">
                  <c:v>2054592.2406131346</c:v>
                </c:pt>
                <c:pt idx="62">
                  <c:v>-1308515.4916690392</c:v>
                </c:pt>
                <c:pt idx="63">
                  <c:v>27169468.469497025</c:v>
                </c:pt>
                <c:pt idx="64">
                  <c:v>2338987.1756486129</c:v>
                </c:pt>
                <c:pt idx="65">
                  <c:v>9547140.4837017953</c:v>
                </c:pt>
                <c:pt idx="66">
                  <c:v>6077998.5428122021</c:v>
                </c:pt>
                <c:pt idx="67">
                  <c:v>20230085.340846457</c:v>
                </c:pt>
                <c:pt idx="68">
                  <c:v>1288289.9522054726</c:v>
                </c:pt>
                <c:pt idx="69">
                  <c:v>6652104.2000284232</c:v>
                </c:pt>
                <c:pt idx="70">
                  <c:v>5005541.3717788476</c:v>
                </c:pt>
                <c:pt idx="71">
                  <c:v>24998740.322655544</c:v>
                </c:pt>
                <c:pt idx="72">
                  <c:v>12543300.513489934</c:v>
                </c:pt>
                <c:pt idx="73">
                  <c:v>8727128.1040761992</c:v>
                </c:pt>
                <c:pt idx="74">
                  <c:v>9604174.7679231949</c:v>
                </c:pt>
                <c:pt idx="75">
                  <c:v>22400737.493311062</c:v>
                </c:pt>
                <c:pt idx="76">
                  <c:v>2734173.5589614362</c:v>
                </c:pt>
                <c:pt idx="77">
                  <c:v>18188934.06973321</c:v>
                </c:pt>
                <c:pt idx="78">
                  <c:v>19252566.607547946</c:v>
                </c:pt>
                <c:pt idx="79">
                  <c:v>4413006.8241613805</c:v>
                </c:pt>
                <c:pt idx="80">
                  <c:v>15013391.888461372</c:v>
                </c:pt>
                <c:pt idx="81">
                  <c:v>15032600.132851081</c:v>
                </c:pt>
                <c:pt idx="82">
                  <c:v>19541856.9673618</c:v>
                </c:pt>
                <c:pt idx="83">
                  <c:v>24439000.018331714</c:v>
                </c:pt>
                <c:pt idx="84">
                  <c:v>14031383.645202694</c:v>
                </c:pt>
                <c:pt idx="85">
                  <c:v>12858103.250620862</c:v>
                </c:pt>
                <c:pt idx="86">
                  <c:v>24716831.827118307</c:v>
                </c:pt>
                <c:pt idx="87">
                  <c:v>1622280.1557309069</c:v>
                </c:pt>
                <c:pt idx="88">
                  <c:v>27343416.791811824</c:v>
                </c:pt>
                <c:pt idx="89">
                  <c:v>11448761.454471195</c:v>
                </c:pt>
                <c:pt idx="90">
                  <c:v>7634396.284867039</c:v>
                </c:pt>
                <c:pt idx="91">
                  <c:v>2761754.0959583521</c:v>
                </c:pt>
                <c:pt idx="92">
                  <c:v>16058417.848435821</c:v>
                </c:pt>
                <c:pt idx="93">
                  <c:v>2755034.4199158642</c:v>
                </c:pt>
                <c:pt idx="94">
                  <c:v>1883019.7542698756</c:v>
                </c:pt>
                <c:pt idx="95">
                  <c:v>7227063.8052199073</c:v>
                </c:pt>
                <c:pt idx="96">
                  <c:v>3803567.8018967733</c:v>
                </c:pt>
                <c:pt idx="97">
                  <c:v>12051225.897396682</c:v>
                </c:pt>
                <c:pt idx="98">
                  <c:v>10707643.002114637</c:v>
                </c:pt>
                <c:pt idx="99">
                  <c:v>22963766.478750005</c:v>
                </c:pt>
                <c:pt idx="100">
                  <c:v>21315706.871943735</c:v>
                </c:pt>
                <c:pt idx="101">
                  <c:v>15789139.477938483</c:v>
                </c:pt>
                <c:pt idx="102">
                  <c:v>2958295.363540139</c:v>
                </c:pt>
                <c:pt idx="103">
                  <c:v>612266.12206451315</c:v>
                </c:pt>
                <c:pt idx="104">
                  <c:v>352060.03353916295</c:v>
                </c:pt>
                <c:pt idx="105">
                  <c:v>6427228.577299187</c:v>
                </c:pt>
                <c:pt idx="106">
                  <c:v>2309825.5669281874</c:v>
                </c:pt>
                <c:pt idx="107">
                  <c:v>2603558.007074479</c:v>
                </c:pt>
                <c:pt idx="108">
                  <c:v>32355916.367614031</c:v>
                </c:pt>
                <c:pt idx="109">
                  <c:v>6028982.4595834129</c:v>
                </c:pt>
                <c:pt idx="110">
                  <c:v>4247197.4748842232</c:v>
                </c:pt>
                <c:pt idx="111">
                  <c:v>8210468.7950352691</c:v>
                </c:pt>
                <c:pt idx="112">
                  <c:v>12895353.604400793</c:v>
                </c:pt>
                <c:pt idx="113">
                  <c:v>981306.30136647169</c:v>
                </c:pt>
                <c:pt idx="114">
                  <c:v>14350267.064239224</c:v>
                </c:pt>
                <c:pt idx="115">
                  <c:v>6177228.7102640513</c:v>
                </c:pt>
                <c:pt idx="116">
                  <c:v>8328327.6756236292</c:v>
                </c:pt>
                <c:pt idx="117">
                  <c:v>3336174.8573417142</c:v>
                </c:pt>
                <c:pt idx="118">
                  <c:v>2562567.637910191</c:v>
                </c:pt>
                <c:pt idx="119">
                  <c:v>9847013.5443483498</c:v>
                </c:pt>
                <c:pt idx="120">
                  <c:v>11797975.560778903</c:v>
                </c:pt>
                <c:pt idx="121">
                  <c:v>-4080700.6830561361</c:v>
                </c:pt>
                <c:pt idx="122">
                  <c:v>-2230172.0419503078</c:v>
                </c:pt>
                <c:pt idx="123">
                  <c:v>26436597.623115167</c:v>
                </c:pt>
                <c:pt idx="124">
                  <c:v>2307242.5503204577</c:v>
                </c:pt>
                <c:pt idx="125">
                  <c:v>1425481.2037592158</c:v>
                </c:pt>
                <c:pt idx="126">
                  <c:v>14524925.867257325</c:v>
                </c:pt>
                <c:pt idx="127">
                  <c:v>11008397.804402241</c:v>
                </c:pt>
                <c:pt idx="128">
                  <c:v>-3938610.9647746766</c:v>
                </c:pt>
                <c:pt idx="129">
                  <c:v>8032309.7659321725</c:v>
                </c:pt>
                <c:pt idx="130">
                  <c:v>4952536.521229146</c:v>
                </c:pt>
                <c:pt idx="131">
                  <c:v>4897364.8905230295</c:v>
                </c:pt>
                <c:pt idx="132">
                  <c:v>10887847.201174172</c:v>
                </c:pt>
                <c:pt idx="133">
                  <c:v>20386249.192795396</c:v>
                </c:pt>
                <c:pt idx="134">
                  <c:v>16875835.556050763</c:v>
                </c:pt>
                <c:pt idx="135">
                  <c:v>20090583.744412534</c:v>
                </c:pt>
                <c:pt idx="136">
                  <c:v>12982616.074269628</c:v>
                </c:pt>
                <c:pt idx="137">
                  <c:v>4638909.7894458324</c:v>
                </c:pt>
                <c:pt idx="138">
                  <c:v>12833099.55852695</c:v>
                </c:pt>
                <c:pt idx="139">
                  <c:v>21689657.75416816</c:v>
                </c:pt>
                <c:pt idx="140">
                  <c:v>-1848888.5544070983</c:v>
                </c:pt>
                <c:pt idx="141">
                  <c:v>21322310.732510865</c:v>
                </c:pt>
                <c:pt idx="142">
                  <c:v>-169646.05661529303</c:v>
                </c:pt>
                <c:pt idx="143">
                  <c:v>29717350.275798835</c:v>
                </c:pt>
                <c:pt idx="144">
                  <c:v>2383890.8966081236</c:v>
                </c:pt>
                <c:pt idx="145">
                  <c:v>1803969.0876647271</c:v>
                </c:pt>
                <c:pt idx="146">
                  <c:v>-1637488.9221793786</c:v>
                </c:pt>
                <c:pt idx="147">
                  <c:v>4696647.726491211</c:v>
                </c:pt>
                <c:pt idx="148">
                  <c:v>17443590.191007234</c:v>
                </c:pt>
                <c:pt idx="149">
                  <c:v>1813789.1326003317</c:v>
                </c:pt>
                <c:pt idx="150">
                  <c:v>3201948.6348662637</c:v>
                </c:pt>
                <c:pt idx="151">
                  <c:v>1101491.0971882641</c:v>
                </c:pt>
                <c:pt idx="152">
                  <c:v>20097450.412194856</c:v>
                </c:pt>
                <c:pt idx="153">
                  <c:v>3823846.7117147315</c:v>
                </c:pt>
                <c:pt idx="154">
                  <c:v>27858366.551229581</c:v>
                </c:pt>
                <c:pt idx="155">
                  <c:v>9077000.3867971227</c:v>
                </c:pt>
                <c:pt idx="156">
                  <c:v>11364872.533339923</c:v>
                </c:pt>
                <c:pt idx="157">
                  <c:v>2092723.2207874134</c:v>
                </c:pt>
                <c:pt idx="158">
                  <c:v>11023705.197326085</c:v>
                </c:pt>
                <c:pt idx="159">
                  <c:v>-2054987.4052982135</c:v>
                </c:pt>
                <c:pt idx="160">
                  <c:v>95304.655320276506</c:v>
                </c:pt>
                <c:pt idx="161">
                  <c:v>1934010.6016959846</c:v>
                </c:pt>
                <c:pt idx="162">
                  <c:v>6258850.3485968336</c:v>
                </c:pt>
                <c:pt idx="163">
                  <c:v>30190091.752537161</c:v>
                </c:pt>
                <c:pt idx="164">
                  <c:v>17757325.340887792</c:v>
                </c:pt>
                <c:pt idx="165">
                  <c:v>1268535.6970293447</c:v>
                </c:pt>
                <c:pt idx="166">
                  <c:v>161640.32327615004</c:v>
                </c:pt>
                <c:pt idx="167">
                  <c:v>16571573.975106964</c:v>
                </c:pt>
                <c:pt idx="168">
                  <c:v>5773757.2690632213</c:v>
                </c:pt>
                <c:pt idx="169">
                  <c:v>8664543.7580509242</c:v>
                </c:pt>
                <c:pt idx="170">
                  <c:v>13376979.535449134</c:v>
                </c:pt>
                <c:pt idx="171">
                  <c:v>5443292.7609897032</c:v>
                </c:pt>
                <c:pt idx="172">
                  <c:v>-90745.441655449569</c:v>
                </c:pt>
                <c:pt idx="173">
                  <c:v>15250755.695184598</c:v>
                </c:pt>
                <c:pt idx="174">
                  <c:v>5926417.8201131616</c:v>
                </c:pt>
                <c:pt idx="175">
                  <c:v>1474319.6151220314</c:v>
                </c:pt>
                <c:pt idx="176">
                  <c:v>21855071.278263673</c:v>
                </c:pt>
                <c:pt idx="177">
                  <c:v>2532127.7947136164</c:v>
                </c:pt>
                <c:pt idx="178">
                  <c:v>14284161.227416748</c:v>
                </c:pt>
                <c:pt idx="179">
                  <c:v>-3630804.7727003885</c:v>
                </c:pt>
                <c:pt idx="180">
                  <c:v>3144599.3955952916</c:v>
                </c:pt>
                <c:pt idx="181">
                  <c:v>18596132.343687087</c:v>
                </c:pt>
                <c:pt idx="182">
                  <c:v>7717293.14402017</c:v>
                </c:pt>
                <c:pt idx="183">
                  <c:v>23760600.248607121</c:v>
                </c:pt>
                <c:pt idx="184">
                  <c:v>2525660.7492914908</c:v>
                </c:pt>
                <c:pt idx="185">
                  <c:v>-4041835.8181484211</c:v>
                </c:pt>
                <c:pt idx="186">
                  <c:v>13454006.086227322</c:v>
                </c:pt>
                <c:pt idx="187">
                  <c:v>-2367395.9979791781</c:v>
                </c:pt>
                <c:pt idx="188">
                  <c:v>29107917.782374434</c:v>
                </c:pt>
                <c:pt idx="189">
                  <c:v>23171928.71755863</c:v>
                </c:pt>
                <c:pt idx="190">
                  <c:v>-65554.758823836222</c:v>
                </c:pt>
                <c:pt idx="191">
                  <c:v>14634007.790472882</c:v>
                </c:pt>
                <c:pt idx="192">
                  <c:v>14639086.270938823</c:v>
                </c:pt>
                <c:pt idx="193">
                  <c:v>9642230.5195801556</c:v>
                </c:pt>
                <c:pt idx="194">
                  <c:v>4188585.3898699041</c:v>
                </c:pt>
                <c:pt idx="195">
                  <c:v>9622872.8955570329</c:v>
                </c:pt>
                <c:pt idx="196">
                  <c:v>2350119.2968405988</c:v>
                </c:pt>
                <c:pt idx="197">
                  <c:v>3614396.0365068782</c:v>
                </c:pt>
                <c:pt idx="198">
                  <c:v>-2253891.3905999567</c:v>
                </c:pt>
                <c:pt idx="199">
                  <c:v>31498944.984825447</c:v>
                </c:pt>
                <c:pt idx="200">
                  <c:v>11388780.699560298</c:v>
                </c:pt>
                <c:pt idx="201">
                  <c:v>16280133.46529506</c:v>
                </c:pt>
                <c:pt idx="202">
                  <c:v>4618392.7297451235</c:v>
                </c:pt>
                <c:pt idx="203">
                  <c:v>17621840.12269403</c:v>
                </c:pt>
                <c:pt idx="204">
                  <c:v>17144567.950361609</c:v>
                </c:pt>
                <c:pt idx="205">
                  <c:v>8376270.1533195749</c:v>
                </c:pt>
                <c:pt idx="206">
                  <c:v>19671974.717760667</c:v>
                </c:pt>
                <c:pt idx="207">
                  <c:v>7083003.8748548925</c:v>
                </c:pt>
                <c:pt idx="208">
                  <c:v>17227724.530927256</c:v>
                </c:pt>
                <c:pt idx="209">
                  <c:v>16782237.047983952</c:v>
                </c:pt>
                <c:pt idx="210">
                  <c:v>25073415.182548493</c:v>
                </c:pt>
                <c:pt idx="211">
                  <c:v>27242561.682746693</c:v>
                </c:pt>
                <c:pt idx="212">
                  <c:v>-185640.00618015695</c:v>
                </c:pt>
                <c:pt idx="213">
                  <c:v>3722212.4306440391</c:v>
                </c:pt>
                <c:pt idx="214">
                  <c:v>19556840.441803664</c:v>
                </c:pt>
                <c:pt idx="215">
                  <c:v>35036673.467965484</c:v>
                </c:pt>
                <c:pt idx="216">
                  <c:v>-2040549.4871941535</c:v>
                </c:pt>
                <c:pt idx="217">
                  <c:v>-1447956.080390716</c:v>
                </c:pt>
                <c:pt idx="218">
                  <c:v>14208420.727117585</c:v>
                </c:pt>
                <c:pt idx="219">
                  <c:v>10346576.916597771</c:v>
                </c:pt>
                <c:pt idx="220">
                  <c:v>38271683.933183365</c:v>
                </c:pt>
                <c:pt idx="221">
                  <c:v>-1367639.4572250769</c:v>
                </c:pt>
                <c:pt idx="222">
                  <c:v>6551365.5659130849</c:v>
                </c:pt>
                <c:pt idx="223">
                  <c:v>1481451.8596611749</c:v>
                </c:pt>
                <c:pt idx="224">
                  <c:v>-3448010.8686613278</c:v>
                </c:pt>
                <c:pt idx="225">
                  <c:v>2462467.2275958993</c:v>
                </c:pt>
                <c:pt idx="226">
                  <c:v>15285914.944965953</c:v>
                </c:pt>
                <c:pt idx="227">
                  <c:v>6947594.6443107631</c:v>
                </c:pt>
                <c:pt idx="228">
                  <c:v>9772845.8989244308</c:v>
                </c:pt>
                <c:pt idx="229">
                  <c:v>-2403179.2174207503</c:v>
                </c:pt>
                <c:pt idx="230">
                  <c:v>12938519.118575783</c:v>
                </c:pt>
                <c:pt idx="231">
                  <c:v>12770409.258095829</c:v>
                </c:pt>
                <c:pt idx="232">
                  <c:v>10048700.193189697</c:v>
                </c:pt>
                <c:pt idx="233">
                  <c:v>6242222.1461849213</c:v>
                </c:pt>
                <c:pt idx="234">
                  <c:v>9887289.8550889473</c:v>
                </c:pt>
                <c:pt idx="235">
                  <c:v>1125741.6260313364</c:v>
                </c:pt>
                <c:pt idx="236">
                  <c:v>2767702.2598896809</c:v>
                </c:pt>
                <c:pt idx="237">
                  <c:v>8256502.280910721</c:v>
                </c:pt>
                <c:pt idx="238">
                  <c:v>4495361.5639004</c:v>
                </c:pt>
                <c:pt idx="239">
                  <c:v>-913669.50314498041</c:v>
                </c:pt>
                <c:pt idx="240">
                  <c:v>16127714.923876682</c:v>
                </c:pt>
                <c:pt idx="241">
                  <c:v>15801149.62919567</c:v>
                </c:pt>
                <c:pt idx="242">
                  <c:v>2207358.8449432179</c:v>
                </c:pt>
                <c:pt idx="243">
                  <c:v>10973697.708106915</c:v>
                </c:pt>
                <c:pt idx="244">
                  <c:v>7784838.8157356977</c:v>
                </c:pt>
                <c:pt idx="245">
                  <c:v>5431053.6205857862</c:v>
                </c:pt>
                <c:pt idx="246">
                  <c:v>3167314.5511675756</c:v>
                </c:pt>
                <c:pt idx="247">
                  <c:v>5193124.4730268586</c:v>
                </c:pt>
                <c:pt idx="248">
                  <c:v>16137638.757263748</c:v>
                </c:pt>
                <c:pt idx="249">
                  <c:v>7559162.2058908977</c:v>
                </c:pt>
                <c:pt idx="250">
                  <c:v>11626662.52448439</c:v>
                </c:pt>
                <c:pt idx="251">
                  <c:v>1271416.3385016397</c:v>
                </c:pt>
                <c:pt idx="252">
                  <c:v>2926080.0929061975</c:v>
                </c:pt>
                <c:pt idx="253">
                  <c:v>6850806.6597261131</c:v>
                </c:pt>
                <c:pt idx="254">
                  <c:v>10596799.548869876</c:v>
                </c:pt>
                <c:pt idx="255">
                  <c:v>34938271.105723202</c:v>
                </c:pt>
                <c:pt idx="256">
                  <c:v>2934988.2406452168</c:v>
                </c:pt>
                <c:pt idx="257">
                  <c:v>22497823.036284715</c:v>
                </c:pt>
                <c:pt idx="258">
                  <c:v>9538809.2567908168</c:v>
                </c:pt>
                <c:pt idx="259">
                  <c:v>13036253.759905575</c:v>
                </c:pt>
                <c:pt idx="260">
                  <c:v>6843115.7841034811</c:v>
                </c:pt>
                <c:pt idx="261">
                  <c:v>3984775.7323880065</c:v>
                </c:pt>
                <c:pt idx="262">
                  <c:v>11410240.40832332</c:v>
                </c:pt>
                <c:pt idx="263">
                  <c:v>-719793.93477215525</c:v>
                </c:pt>
                <c:pt idx="264">
                  <c:v>27317862.607838549</c:v>
                </c:pt>
                <c:pt idx="265">
                  <c:v>21038197.598453902</c:v>
                </c:pt>
                <c:pt idx="266">
                  <c:v>2174502.7658516411</c:v>
                </c:pt>
                <c:pt idx="267">
                  <c:v>8210569.5519779548</c:v>
                </c:pt>
                <c:pt idx="268">
                  <c:v>23257661.730860889</c:v>
                </c:pt>
                <c:pt idx="269">
                  <c:v>1493529.7021726444</c:v>
                </c:pt>
                <c:pt idx="270">
                  <c:v>7738831.1146512404</c:v>
                </c:pt>
                <c:pt idx="271">
                  <c:v>5010392.6907439567</c:v>
                </c:pt>
                <c:pt idx="272">
                  <c:v>6619323.6011136286</c:v>
                </c:pt>
                <c:pt idx="273">
                  <c:v>8204544.8391557932</c:v>
                </c:pt>
                <c:pt idx="274">
                  <c:v>51805.399638403207</c:v>
                </c:pt>
                <c:pt idx="275">
                  <c:v>19514320.185467444</c:v>
                </c:pt>
                <c:pt idx="276">
                  <c:v>4077381.2763068751</c:v>
                </c:pt>
                <c:pt idx="277">
                  <c:v>8519878.4374549445</c:v>
                </c:pt>
                <c:pt idx="278">
                  <c:v>19026220.246582694</c:v>
                </c:pt>
                <c:pt idx="279">
                  <c:v>11278947.947198914</c:v>
                </c:pt>
                <c:pt idx="280">
                  <c:v>28938342.739416152</c:v>
                </c:pt>
                <c:pt idx="281">
                  <c:v>4115024.5037050303</c:v>
                </c:pt>
                <c:pt idx="282">
                  <c:v>14705216.629706899</c:v>
                </c:pt>
                <c:pt idx="283">
                  <c:v>3491297.3159841131</c:v>
                </c:pt>
                <c:pt idx="284">
                  <c:v>809522.23251344077</c:v>
                </c:pt>
                <c:pt idx="285">
                  <c:v>2002680.2255269587</c:v>
                </c:pt>
                <c:pt idx="286">
                  <c:v>24639297.466340423</c:v>
                </c:pt>
                <c:pt idx="287">
                  <c:v>5000920.8530240823</c:v>
                </c:pt>
                <c:pt idx="288">
                  <c:v>12423381.660557063</c:v>
                </c:pt>
                <c:pt idx="289">
                  <c:v>28904569.694458157</c:v>
                </c:pt>
                <c:pt idx="290">
                  <c:v>2893156.0052362978</c:v>
                </c:pt>
                <c:pt idx="291">
                  <c:v>3782940.1671582274</c:v>
                </c:pt>
                <c:pt idx="292">
                  <c:v>12435524.755374601</c:v>
                </c:pt>
                <c:pt idx="293">
                  <c:v>-3853092.634025767</c:v>
                </c:pt>
                <c:pt idx="294">
                  <c:v>28532206.25677412</c:v>
                </c:pt>
                <c:pt idx="295">
                  <c:v>11725708.706922932</c:v>
                </c:pt>
                <c:pt idx="296">
                  <c:v>7452290.8651499357</c:v>
                </c:pt>
                <c:pt idx="297">
                  <c:v>5378703.8837097939</c:v>
                </c:pt>
                <c:pt idx="298">
                  <c:v>10611107.33501924</c:v>
                </c:pt>
                <c:pt idx="299">
                  <c:v>7734481.8515332546</c:v>
                </c:pt>
                <c:pt idx="300">
                  <c:v>6448440.0212565511</c:v>
                </c:pt>
                <c:pt idx="301">
                  <c:v>3762107.3268427998</c:v>
                </c:pt>
                <c:pt idx="302">
                  <c:v>12983016.13609471</c:v>
                </c:pt>
                <c:pt idx="303">
                  <c:v>3519883.7442802731</c:v>
                </c:pt>
                <c:pt idx="304">
                  <c:v>16756086.193775928</c:v>
                </c:pt>
                <c:pt idx="305">
                  <c:v>-1621766.530476924</c:v>
                </c:pt>
                <c:pt idx="306">
                  <c:v>2479036.4493315071</c:v>
                </c:pt>
                <c:pt idx="307">
                  <c:v>29628694.569893479</c:v>
                </c:pt>
                <c:pt idx="308">
                  <c:v>8836572.4368581884</c:v>
                </c:pt>
                <c:pt idx="309">
                  <c:v>4461069.9533898961</c:v>
                </c:pt>
                <c:pt idx="310">
                  <c:v>4201076.3537394218</c:v>
                </c:pt>
                <c:pt idx="311">
                  <c:v>-2125302.3344542468</c:v>
                </c:pt>
                <c:pt idx="312">
                  <c:v>4931472.6739464775</c:v>
                </c:pt>
                <c:pt idx="313">
                  <c:v>8839759.2679185048</c:v>
                </c:pt>
                <c:pt idx="314">
                  <c:v>4692313.1853390448</c:v>
                </c:pt>
                <c:pt idx="315">
                  <c:v>17288550.209932521</c:v>
                </c:pt>
                <c:pt idx="316">
                  <c:v>25487014.275297776</c:v>
                </c:pt>
                <c:pt idx="317">
                  <c:v>874486.89643204026</c:v>
                </c:pt>
                <c:pt idx="318">
                  <c:v>20200432.687304661</c:v>
                </c:pt>
                <c:pt idx="319">
                  <c:v>7150423.6494776718</c:v>
                </c:pt>
                <c:pt idx="320">
                  <c:v>689546.1364527531</c:v>
                </c:pt>
                <c:pt idx="321">
                  <c:v>-3573995.1021541902</c:v>
                </c:pt>
                <c:pt idx="322">
                  <c:v>14684587.948646126</c:v>
                </c:pt>
                <c:pt idx="323">
                  <c:v>435887.86030193605</c:v>
                </c:pt>
                <c:pt idx="324">
                  <c:v>5650782.0988334902</c:v>
                </c:pt>
                <c:pt idx="325">
                  <c:v>20612336.499773122</c:v>
                </c:pt>
                <c:pt idx="326">
                  <c:v>-1621001.4916796368</c:v>
                </c:pt>
                <c:pt idx="327">
                  <c:v>4302480.214432884</c:v>
                </c:pt>
                <c:pt idx="328">
                  <c:v>25437816.110588983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45-4F1C-B691-9A964BE50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857855"/>
        <c:axId val="1631855455"/>
      </c:scatterChart>
      <c:valAx>
        <c:axId val="1631857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6.85996376811594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31855455"/>
        <c:crosses val="autoZero"/>
        <c:crossBetween val="midCat"/>
      </c:valAx>
      <c:valAx>
        <c:axId val="16318554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756881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3185785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361950</xdr:colOff>
      <xdr:row>1</xdr:row>
      <xdr:rowOff>177800</xdr:rowOff>
    </xdr:from>
    <xdr:to>
      <xdr:col>23</xdr:col>
      <xdr:colOff>781050</xdr:colOff>
      <xdr:row>11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4E63E2-5170-BF6F-8B2D-6F9B79A21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133350</xdr:colOff>
      <xdr:row>1</xdr:row>
      <xdr:rowOff>171450</xdr:rowOff>
    </xdr:from>
    <xdr:to>
      <xdr:col>27</xdr:col>
      <xdr:colOff>469900</xdr:colOff>
      <xdr:row>11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5E8861-1E6C-A4B4-DE91-97BAF83E5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835E-1340-4830-9B5C-7A11679A84AC}">
  <dimension ref="A1:AB354"/>
  <sheetViews>
    <sheetView tabSelected="1" topLeftCell="P1" workbookViewId="0">
      <selection activeCell="Y28" sqref="Y28"/>
    </sheetView>
  </sheetViews>
  <sheetFormatPr defaultRowHeight="14.5" x14ac:dyDescent="0.35"/>
  <cols>
    <col min="16" max="16" width="10.81640625" bestFit="1" customWidth="1"/>
    <col min="22" max="22" width="21.90625" bestFit="1" customWidth="1"/>
    <col min="23" max="23" width="15.7265625" bestFit="1" customWidth="1"/>
    <col min="24" max="24" width="21.1796875" bestFit="1" customWidth="1"/>
    <col min="25" max="25" width="21.7265625" bestFit="1" customWidth="1"/>
    <col min="26" max="26" width="17.089843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343</v>
      </c>
      <c r="P1" t="s">
        <v>344</v>
      </c>
      <c r="Q1" t="s">
        <v>346</v>
      </c>
    </row>
    <row r="2" spans="1:25" x14ac:dyDescent="0.35">
      <c r="A2" t="s">
        <v>13</v>
      </c>
      <c r="B2">
        <v>5.7934782608695699</v>
      </c>
      <c r="C2">
        <v>1.6557971014492801</v>
      </c>
      <c r="D2">
        <v>1.0326086956521701</v>
      </c>
      <c r="E2">
        <v>0.40942028985507201</v>
      </c>
      <c r="F2">
        <v>6.15942028985507E-2</v>
      </c>
      <c r="G2">
        <v>0.30072463768115898</v>
      </c>
      <c r="H2">
        <v>276</v>
      </c>
      <c r="I2">
        <v>6.8599637681159402</v>
      </c>
      <c r="J2">
        <v>508891</v>
      </c>
      <c r="K2">
        <v>756881</v>
      </c>
      <c r="L2">
        <v>1760487.5446888399</v>
      </c>
      <c r="M2">
        <v>-1003606.54468884</v>
      </c>
      <c r="O2">
        <f>RSQ(I:I, K:K)</f>
        <v>0.59788385027753255</v>
      </c>
      <c r="P2">
        <f>INTERCEPT($I$2:$I$331, $K$2:$K$331) + SLOPE($I$2:$I$331, $K$2:$K$331) * K2</f>
        <v>8.9182809377817289</v>
      </c>
      <c r="Q2">
        <f>I2 - P2</f>
        <v>-2.0583171696657887</v>
      </c>
      <c r="T2" t="s">
        <v>347</v>
      </c>
    </row>
    <row r="3" spans="1:25" ht="15" thickBot="1" x14ac:dyDescent="0.4">
      <c r="A3" t="s">
        <v>14</v>
      </c>
      <c r="B3">
        <v>12.864238410596</v>
      </c>
      <c r="C3">
        <v>5.8885209713024302</v>
      </c>
      <c r="D3">
        <v>2.5264900662251701</v>
      </c>
      <c r="E3">
        <v>1.38631346578366</v>
      </c>
      <c r="F3">
        <v>0.55739514348785901</v>
      </c>
      <c r="G3">
        <v>0.67660044150110399</v>
      </c>
      <c r="H3">
        <v>907</v>
      </c>
      <c r="I3">
        <v>17.426324503311299</v>
      </c>
      <c r="J3">
        <v>19690909</v>
      </c>
      <c r="K3">
        <v>21266182</v>
      </c>
      <c r="L3">
        <v>15390662.985959699</v>
      </c>
      <c r="M3">
        <v>5875519.0140403099</v>
      </c>
      <c r="P3">
        <f t="shared" ref="P3:P66" si="0">INTERCEPT($I$2:$I$331, $K$2:$K$331) + SLOPE($I$2:$I$331, $K$2:$K$331) * K3</f>
        <v>18.42414652521353</v>
      </c>
      <c r="Q3">
        <f t="shared" ref="Q3:Q66" si="1">I3 - P3</f>
        <v>-0.99782202190223046</v>
      </c>
    </row>
    <row r="4" spans="1:25" x14ac:dyDescent="0.35">
      <c r="A4" t="s">
        <v>15</v>
      </c>
      <c r="B4">
        <v>5.1661631419939598</v>
      </c>
      <c r="C4">
        <v>1.2507552870090599</v>
      </c>
      <c r="D4">
        <v>1.54833836858006</v>
      </c>
      <c r="E4">
        <v>0.69486404833836901</v>
      </c>
      <c r="F4">
        <v>0.132930513595166</v>
      </c>
      <c r="G4">
        <v>0.46072507552870101</v>
      </c>
      <c r="H4">
        <v>664</v>
      </c>
      <c r="I4">
        <v>6.6697885196374598</v>
      </c>
      <c r="J4">
        <v>1968175</v>
      </c>
      <c r="K4">
        <v>656058.33333333302</v>
      </c>
      <c r="L4">
        <v>1515169.21169696</v>
      </c>
      <c r="M4">
        <v>-859110.87836362503</v>
      </c>
      <c r="P4">
        <f t="shared" si="0"/>
        <v>8.8715505924862086</v>
      </c>
      <c r="Q4">
        <f t="shared" si="1"/>
        <v>-2.2017620728487488</v>
      </c>
      <c r="T4" s="5" t="s">
        <v>348</v>
      </c>
      <c r="U4" s="5"/>
    </row>
    <row r="5" spans="1:25" x14ac:dyDescent="0.35">
      <c r="A5" t="s">
        <v>16</v>
      </c>
      <c r="B5">
        <v>7.7031578947368402</v>
      </c>
      <c r="C5">
        <v>2.8947368421052602</v>
      </c>
      <c r="D5">
        <v>0.96</v>
      </c>
      <c r="E5">
        <v>0.71157894736842098</v>
      </c>
      <c r="F5">
        <v>0.35157894736842099</v>
      </c>
      <c r="G5">
        <v>0.53052631578947396</v>
      </c>
      <c r="H5">
        <v>475</v>
      </c>
      <c r="I5">
        <v>9.5794736842105301</v>
      </c>
      <c r="J5">
        <v>3804360</v>
      </c>
      <c r="K5">
        <v>5758622.6666666698</v>
      </c>
      <c r="L5">
        <v>5268544.68939503</v>
      </c>
      <c r="M5">
        <v>490077.97727163398</v>
      </c>
      <c r="P5">
        <f t="shared" si="0"/>
        <v>11.236540540407411</v>
      </c>
      <c r="Q5">
        <f t="shared" si="1"/>
        <v>-1.6570668561968809</v>
      </c>
      <c r="T5" s="2" t="s">
        <v>349</v>
      </c>
      <c r="U5" s="2">
        <v>0.77275276093947787</v>
      </c>
    </row>
    <row r="6" spans="1:25" x14ac:dyDescent="0.35">
      <c r="A6" t="s">
        <v>17</v>
      </c>
      <c r="B6">
        <v>7.7468982630272896</v>
      </c>
      <c r="C6">
        <v>2.8535980148883402</v>
      </c>
      <c r="D6">
        <v>1.2555831265508699</v>
      </c>
      <c r="E6">
        <v>0.82878411910670002</v>
      </c>
      <c r="F6">
        <v>0.25062034739454098</v>
      </c>
      <c r="G6">
        <v>0.64516129032258096</v>
      </c>
      <c r="H6">
        <v>403</v>
      </c>
      <c r="I6">
        <v>9.8300248138957809</v>
      </c>
      <c r="J6">
        <v>1563518</v>
      </c>
      <c r="K6">
        <v>1796070.66666667</v>
      </c>
      <c r="L6">
        <v>5591745.4526666701</v>
      </c>
      <c r="M6">
        <v>-3795674.7860000101</v>
      </c>
      <c r="P6">
        <f t="shared" si="0"/>
        <v>9.3999354462011731</v>
      </c>
      <c r="Q6">
        <f t="shared" si="1"/>
        <v>0.43008936769460782</v>
      </c>
      <c r="T6" s="2" t="s">
        <v>350</v>
      </c>
      <c r="U6" s="2">
        <v>0.59714682953958587</v>
      </c>
    </row>
    <row r="7" spans="1:25" x14ac:dyDescent="0.35">
      <c r="A7" t="s">
        <v>18</v>
      </c>
      <c r="B7">
        <v>11.9557755775578</v>
      </c>
      <c r="C7">
        <v>7.3722772277227699</v>
      </c>
      <c r="D7">
        <v>2.9702970297029698</v>
      </c>
      <c r="E7">
        <v>1.2950495049505</v>
      </c>
      <c r="F7">
        <v>1.0950495049505</v>
      </c>
      <c r="G7">
        <v>0.73267326732673299</v>
      </c>
      <c r="H7">
        <v>1517</v>
      </c>
      <c r="I7">
        <v>19.0151485148515</v>
      </c>
      <c r="J7">
        <v>26500000</v>
      </c>
      <c r="K7">
        <v>15333333.3333333</v>
      </c>
      <c r="L7">
        <v>17440181.317324601</v>
      </c>
      <c r="M7">
        <v>-2106847.9839912402</v>
      </c>
      <c r="P7">
        <f t="shared" si="0"/>
        <v>15.674327700285872</v>
      </c>
      <c r="Q7">
        <f t="shared" si="1"/>
        <v>3.3408208145656282</v>
      </c>
      <c r="T7" s="2" t="s">
        <v>351</v>
      </c>
      <c r="U7" s="2">
        <v>0.59591486265744398</v>
      </c>
    </row>
    <row r="8" spans="1:25" x14ac:dyDescent="0.35">
      <c r="A8" t="s">
        <v>19</v>
      </c>
      <c r="B8">
        <v>9.0930693069306905</v>
      </c>
      <c r="C8">
        <v>2.8722772277227699</v>
      </c>
      <c r="D8">
        <v>1.65940594059406</v>
      </c>
      <c r="E8">
        <v>0.97920792079207897</v>
      </c>
      <c r="F8">
        <v>0.173267326732673</v>
      </c>
      <c r="G8">
        <v>0.57722772277227696</v>
      </c>
      <c r="H8">
        <v>1012</v>
      </c>
      <c r="I8">
        <v>11.0379207920792</v>
      </c>
      <c r="J8">
        <v>10012800</v>
      </c>
      <c r="K8">
        <v>6834133.3333333302</v>
      </c>
      <c r="L8">
        <v>7149882.1195898904</v>
      </c>
      <c r="M8">
        <v>-315748.78625655599</v>
      </c>
      <c r="P8">
        <f t="shared" si="0"/>
        <v>11.735029486236545</v>
      </c>
      <c r="Q8">
        <f t="shared" si="1"/>
        <v>-0.697108694157345</v>
      </c>
      <c r="T8" s="2" t="s">
        <v>352</v>
      </c>
      <c r="U8" s="2">
        <v>7356774.790301769</v>
      </c>
    </row>
    <row r="9" spans="1:25" ht="15" thickBot="1" x14ac:dyDescent="0.4">
      <c r="A9" t="s">
        <v>20</v>
      </c>
      <c r="B9">
        <v>6.3355932203389802</v>
      </c>
      <c r="C9">
        <v>2.5745762711864399</v>
      </c>
      <c r="D9">
        <v>2.5576271186440702</v>
      </c>
      <c r="E9">
        <v>1.0525423728813601</v>
      </c>
      <c r="F9">
        <v>0.46101694915254199</v>
      </c>
      <c r="G9">
        <v>1.2372881355932199</v>
      </c>
      <c r="H9">
        <v>593</v>
      </c>
      <c r="I9">
        <v>10.5410169491525</v>
      </c>
      <c r="J9">
        <v>9030000</v>
      </c>
      <c r="K9">
        <v>9460000</v>
      </c>
      <c r="L9">
        <v>6508896.3794407304</v>
      </c>
      <c r="M9">
        <v>2951103.62055927</v>
      </c>
      <c r="P9">
        <f t="shared" si="0"/>
        <v>12.952093665257125</v>
      </c>
      <c r="Q9">
        <f t="shared" si="1"/>
        <v>-2.4110767161046258</v>
      </c>
      <c r="T9" s="3" t="s">
        <v>353</v>
      </c>
      <c r="U9" s="3">
        <v>329</v>
      </c>
    </row>
    <row r="10" spans="1:25" x14ac:dyDescent="0.35">
      <c r="A10" t="s">
        <v>21</v>
      </c>
      <c r="B10">
        <v>5.07464212678937</v>
      </c>
      <c r="C10">
        <v>4</v>
      </c>
      <c r="D10">
        <v>0.661554192229039</v>
      </c>
      <c r="E10">
        <v>0.82822085889570596</v>
      </c>
      <c r="F10">
        <v>0.68098159509202405</v>
      </c>
      <c r="G10">
        <v>0.27811860940695299</v>
      </c>
      <c r="H10">
        <v>981</v>
      </c>
      <c r="I10">
        <v>8.2125255623721891</v>
      </c>
      <c r="J10">
        <v>3918600</v>
      </c>
      <c r="K10">
        <v>1306200</v>
      </c>
      <c r="L10">
        <v>3505237.22841539</v>
      </c>
      <c r="M10">
        <v>-2199037.22841539</v>
      </c>
      <c r="P10">
        <f t="shared" si="0"/>
        <v>9.1728850600101008</v>
      </c>
      <c r="Q10">
        <f t="shared" si="1"/>
        <v>-0.96035949763791173</v>
      </c>
    </row>
    <row r="11" spans="1:25" ht="15" thickBot="1" x14ac:dyDescent="0.4">
      <c r="A11" t="s">
        <v>22</v>
      </c>
      <c r="B11">
        <v>16.2</v>
      </c>
      <c r="C11">
        <v>8.4749999999999996</v>
      </c>
      <c r="D11">
        <v>4.2611111111111102</v>
      </c>
      <c r="E11">
        <v>2.4722222222222201</v>
      </c>
      <c r="F11">
        <v>0.86388888888888904</v>
      </c>
      <c r="G11">
        <v>1.06111111111111</v>
      </c>
      <c r="H11">
        <v>360</v>
      </c>
      <c r="I11">
        <v>23.88</v>
      </c>
      <c r="J11">
        <v>3375360</v>
      </c>
      <c r="K11">
        <v>4112098</v>
      </c>
      <c r="L11">
        <v>23715641.799894899</v>
      </c>
      <c r="M11">
        <v>-19603543.799894899</v>
      </c>
      <c r="P11">
        <f t="shared" si="0"/>
        <v>10.473392046574084</v>
      </c>
      <c r="Q11">
        <f t="shared" si="1"/>
        <v>13.406607953425915</v>
      </c>
      <c r="T11" t="s">
        <v>354</v>
      </c>
    </row>
    <row r="12" spans="1:25" x14ac:dyDescent="0.35">
      <c r="A12" t="s">
        <v>23</v>
      </c>
      <c r="B12">
        <v>4.7578740157480297</v>
      </c>
      <c r="C12">
        <v>1.3799212598425199</v>
      </c>
      <c r="D12">
        <v>0.82283464566929099</v>
      </c>
      <c r="E12">
        <v>0.40551181102362199</v>
      </c>
      <c r="F12">
        <v>0.110236220472441</v>
      </c>
      <c r="G12">
        <v>0.32480314960629902</v>
      </c>
      <c r="H12">
        <v>508</v>
      </c>
      <c r="I12">
        <v>5.7274606299212598</v>
      </c>
      <c r="J12">
        <v>3395062</v>
      </c>
      <c r="K12">
        <v>3666666.6666666698</v>
      </c>
      <c r="L12">
        <v>299604.57388819999</v>
      </c>
      <c r="M12">
        <v>3367062.0927784699</v>
      </c>
      <c r="P12">
        <f t="shared" si="0"/>
        <v>10.266938867935906</v>
      </c>
      <c r="Q12">
        <f t="shared" si="1"/>
        <v>-4.5394782380146461</v>
      </c>
      <c r="T12" s="4"/>
      <c r="U12" s="4" t="s">
        <v>357</v>
      </c>
      <c r="V12" s="4" t="s">
        <v>358</v>
      </c>
      <c r="W12" s="4" t="s">
        <v>359</v>
      </c>
      <c r="X12" s="4" t="s">
        <v>360</v>
      </c>
      <c r="Y12" s="4" t="s">
        <v>361</v>
      </c>
    </row>
    <row r="13" spans="1:25" x14ac:dyDescent="0.35">
      <c r="A13" t="s">
        <v>24</v>
      </c>
      <c r="B13">
        <v>11.464545454545499</v>
      </c>
      <c r="C13">
        <v>11.12</v>
      </c>
      <c r="D13">
        <v>1.12636363636364</v>
      </c>
      <c r="E13">
        <v>1.6590909090909101</v>
      </c>
      <c r="F13">
        <v>1.16545454545455</v>
      </c>
      <c r="G13">
        <v>1.12363636363636</v>
      </c>
      <c r="H13">
        <v>1102</v>
      </c>
      <c r="I13">
        <v>20.0803181818182</v>
      </c>
      <c r="J13">
        <v>3200000</v>
      </c>
      <c r="K13">
        <v>2186666.6666666698</v>
      </c>
      <c r="L13">
        <v>18814206.849797301</v>
      </c>
      <c r="M13">
        <v>-16627540.1831307</v>
      </c>
      <c r="P13">
        <f t="shared" si="0"/>
        <v>9.580972970346366</v>
      </c>
      <c r="Q13">
        <f t="shared" si="1"/>
        <v>10.499345211471834</v>
      </c>
      <c r="T13" s="2" t="s">
        <v>355</v>
      </c>
      <c r="U13" s="2">
        <v>1</v>
      </c>
      <c r="V13" s="2">
        <v>2.6233547329783076E+16</v>
      </c>
      <c r="W13" s="2">
        <v>2.6233547329783076E+16</v>
      </c>
      <c r="X13" s="2">
        <v>484.71013157542524</v>
      </c>
      <c r="Y13" s="2">
        <v>1.5736459606865591E-66</v>
      </c>
    </row>
    <row r="14" spans="1:25" x14ac:dyDescent="0.35">
      <c r="A14" t="s">
        <v>25</v>
      </c>
      <c r="B14">
        <v>10.2592592592593</v>
      </c>
      <c r="C14">
        <v>2.5586419753086398</v>
      </c>
      <c r="D14">
        <v>4.62654320987654</v>
      </c>
      <c r="E14">
        <v>1.6080246913580201</v>
      </c>
      <c r="F14">
        <v>0.148148148148148</v>
      </c>
      <c r="G14">
        <v>0.92283950617283905</v>
      </c>
      <c r="H14">
        <v>324</v>
      </c>
      <c r="I14">
        <v>14.6348765432099</v>
      </c>
      <c r="J14">
        <v>2244111</v>
      </c>
      <c r="K14">
        <v>2131905</v>
      </c>
      <c r="L14">
        <v>11789808.691384399</v>
      </c>
      <c r="M14">
        <v>-9657903.6913844291</v>
      </c>
      <c r="P14">
        <f t="shared" si="0"/>
        <v>9.5555914596514331</v>
      </c>
      <c r="Q14">
        <f t="shared" si="1"/>
        <v>5.0792850835584673</v>
      </c>
      <c r="T14" s="2" t="s">
        <v>346</v>
      </c>
      <c r="U14" s="2">
        <v>327</v>
      </c>
      <c r="V14" s="2">
        <v>1.769793824807682E+16</v>
      </c>
      <c r="W14" s="2">
        <v>54122135315219.633</v>
      </c>
      <c r="X14" s="2"/>
      <c r="Y14" s="2"/>
    </row>
    <row r="15" spans="1:25" ht="15" thickBot="1" x14ac:dyDescent="0.4">
      <c r="A15" t="s">
        <v>26</v>
      </c>
      <c r="B15">
        <v>17.1531151003168</v>
      </c>
      <c r="C15">
        <v>4.3093980992608198</v>
      </c>
      <c r="D15">
        <v>2.17634635691658</v>
      </c>
      <c r="E15">
        <v>1.7328405491024299</v>
      </c>
      <c r="F15">
        <v>0.67687434002111901</v>
      </c>
      <c r="G15">
        <v>0.91552270327349505</v>
      </c>
      <c r="H15">
        <v>950</v>
      </c>
      <c r="I15">
        <v>19.214677930306198</v>
      </c>
      <c r="J15">
        <v>33616770</v>
      </c>
      <c r="K15">
        <v>28074637.666666701</v>
      </c>
      <c r="L15">
        <v>17697566.1451285</v>
      </c>
      <c r="M15">
        <v>10377071.5215382</v>
      </c>
      <c r="P15">
        <f t="shared" si="0"/>
        <v>21.579800851283544</v>
      </c>
      <c r="Q15">
        <f t="shared" si="1"/>
        <v>-2.3651229209773454</v>
      </c>
      <c r="T15" s="3" t="s">
        <v>356</v>
      </c>
      <c r="U15" s="3">
        <v>328</v>
      </c>
      <c r="V15" s="3">
        <v>4.3931485577859896E+16</v>
      </c>
      <c r="W15" s="3"/>
      <c r="X15" s="3"/>
      <c r="Y15" s="3"/>
    </row>
    <row r="16" spans="1:25" ht="15" thickBot="1" x14ac:dyDescent="0.4">
      <c r="A16" t="s">
        <v>27</v>
      </c>
      <c r="B16">
        <v>12.694852941176499</v>
      </c>
      <c r="C16">
        <v>2.1433823529411802</v>
      </c>
      <c r="D16">
        <v>2.65808823529412</v>
      </c>
      <c r="E16">
        <v>1.3363970588235301</v>
      </c>
      <c r="F16">
        <v>0.106617647058824</v>
      </c>
      <c r="G16">
        <v>0.45220588235294101</v>
      </c>
      <c r="H16">
        <v>547</v>
      </c>
      <c r="I16">
        <v>13.7845588235294</v>
      </c>
      <c r="J16">
        <v>22321429</v>
      </c>
      <c r="K16">
        <v>24107143</v>
      </c>
      <c r="L16">
        <v>10692933.4293596</v>
      </c>
      <c r="M16">
        <v>13414209.5706404</v>
      </c>
      <c r="P16">
        <f t="shared" si="0"/>
        <v>19.740904878174259</v>
      </c>
      <c r="Q16">
        <f t="shared" si="1"/>
        <v>-5.9563460546448592</v>
      </c>
    </row>
    <row r="17" spans="1:28" x14ac:dyDescent="0.35">
      <c r="A17" t="s">
        <v>28</v>
      </c>
      <c r="B17">
        <v>21.224548049476699</v>
      </c>
      <c r="C17">
        <v>9.4310180780209301</v>
      </c>
      <c r="D17">
        <v>2.2483349191246398</v>
      </c>
      <c r="E17">
        <v>1.7802093244529</v>
      </c>
      <c r="F17">
        <v>1.9990485252140799</v>
      </c>
      <c r="G17">
        <v>1.1484300666032301</v>
      </c>
      <c r="H17">
        <v>1054</v>
      </c>
      <c r="I17">
        <v>27.968934348239799</v>
      </c>
      <c r="J17">
        <v>37980720</v>
      </c>
      <c r="K17">
        <v>40600080</v>
      </c>
      <c r="L17">
        <v>28990200.7451245</v>
      </c>
      <c r="M17">
        <v>11609879.2548755</v>
      </c>
      <c r="P17">
        <f t="shared" si="0"/>
        <v>27.385224022155846</v>
      </c>
      <c r="Q17">
        <f t="shared" si="1"/>
        <v>0.58371032608395268</v>
      </c>
      <c r="T17" s="4"/>
      <c r="U17" s="4" t="s">
        <v>362</v>
      </c>
      <c r="V17" s="4" t="s">
        <v>352</v>
      </c>
      <c r="W17" s="4" t="s">
        <v>363</v>
      </c>
      <c r="X17" s="4" t="s">
        <v>364</v>
      </c>
      <c r="Y17" s="4" t="s">
        <v>365</v>
      </c>
      <c r="Z17" s="4" t="s">
        <v>366</v>
      </c>
      <c r="AA17" s="4" t="s">
        <v>367</v>
      </c>
      <c r="AB17" s="4" t="s">
        <v>368</v>
      </c>
    </row>
    <row r="18" spans="1:28" x14ac:dyDescent="0.35">
      <c r="A18" t="s">
        <v>29</v>
      </c>
      <c r="B18">
        <v>23.9636363636364</v>
      </c>
      <c r="C18">
        <v>5.2888888888888896</v>
      </c>
      <c r="D18">
        <v>4.1515151515151496</v>
      </c>
      <c r="E18">
        <v>2.7858585858585898</v>
      </c>
      <c r="F18">
        <v>0.64040404040403998</v>
      </c>
      <c r="G18">
        <v>1.28484848484848</v>
      </c>
      <c r="H18">
        <v>495</v>
      </c>
      <c r="I18">
        <v>26.887676767676801</v>
      </c>
      <c r="J18">
        <v>10733400</v>
      </c>
      <c r="K18">
        <v>13954493.3333333</v>
      </c>
      <c r="L18">
        <v>27595422.4586717</v>
      </c>
      <c r="M18">
        <v>-13640929.125338299</v>
      </c>
      <c r="P18">
        <f t="shared" si="0"/>
        <v>15.03524849877752</v>
      </c>
      <c r="Q18">
        <f t="shared" si="1"/>
        <v>11.852428268899281</v>
      </c>
      <c r="T18" s="2" t="s">
        <v>345</v>
      </c>
      <c r="U18" s="2">
        <v>-7080268.316906685</v>
      </c>
      <c r="V18" s="2">
        <v>870737.33447561332</v>
      </c>
      <c r="W18" s="2">
        <v>-8.1313480386948793</v>
      </c>
      <c r="X18" s="2">
        <v>8.8928864065688936E-15</v>
      </c>
      <c r="Y18" s="2">
        <v>-8793222.0766453948</v>
      </c>
      <c r="Z18" s="2">
        <v>-5367314.5571679752</v>
      </c>
      <c r="AA18" s="2">
        <v>-8793222.0766453948</v>
      </c>
      <c r="AB18" s="2">
        <v>-5367314.5571679752</v>
      </c>
    </row>
    <row r="19" spans="1:28" ht="15" thickBot="1" x14ac:dyDescent="0.4">
      <c r="A19" t="s">
        <v>30</v>
      </c>
      <c r="B19">
        <v>1.91208791208791</v>
      </c>
      <c r="C19">
        <v>1.0109890109890101</v>
      </c>
      <c r="D19">
        <v>0.29450549450549501</v>
      </c>
      <c r="E19">
        <v>0.193406593406593</v>
      </c>
      <c r="F19">
        <v>0.101098901098901</v>
      </c>
      <c r="G19">
        <v>0.125274725274725</v>
      </c>
      <c r="H19">
        <v>455</v>
      </c>
      <c r="I19">
        <v>2.66703296703297</v>
      </c>
      <c r="J19">
        <v>1836090</v>
      </c>
      <c r="K19">
        <v>1277776</v>
      </c>
      <c r="L19">
        <v>-3648222.59346763</v>
      </c>
      <c r="M19">
        <v>4925998.5934676202</v>
      </c>
      <c r="P19">
        <f t="shared" si="0"/>
        <v>9.1597108068526101</v>
      </c>
      <c r="Q19">
        <f t="shared" si="1"/>
        <v>-6.4926778398196401</v>
      </c>
      <c r="T19" s="3">
        <v>6.8599637681159402</v>
      </c>
      <c r="U19" s="3">
        <v>1289558.857365214</v>
      </c>
      <c r="V19" s="3">
        <v>58573.357623217773</v>
      </c>
      <c r="W19" s="3">
        <v>22.016133438354377</v>
      </c>
      <c r="X19" s="3">
        <v>1.5736459606863801E-66</v>
      </c>
      <c r="Y19" s="3">
        <v>1174330.7062470184</v>
      </c>
      <c r="Z19" s="3">
        <v>1404787.0084834096</v>
      </c>
      <c r="AA19" s="3">
        <v>1174330.7062470184</v>
      </c>
      <c r="AB19" s="3">
        <v>1404787.0084834096</v>
      </c>
    </row>
    <row r="20" spans="1:28" x14ac:dyDescent="0.35">
      <c r="A20" t="s">
        <v>31</v>
      </c>
      <c r="B20">
        <v>14.367724867724901</v>
      </c>
      <c r="C20">
        <v>3.7063492063492101</v>
      </c>
      <c r="D20">
        <v>4.0714285714285703</v>
      </c>
      <c r="E20">
        <v>1.7433862433862399</v>
      </c>
      <c r="F20">
        <v>0.28835978835978798</v>
      </c>
      <c r="G20">
        <v>0.72222222222222199</v>
      </c>
      <c r="H20">
        <v>378</v>
      </c>
      <c r="I20">
        <v>17.951190476190501</v>
      </c>
      <c r="J20">
        <v>1563518</v>
      </c>
      <c r="K20">
        <v>521172.66666666698</v>
      </c>
      <c r="L20">
        <v>16067718.7360694</v>
      </c>
      <c r="M20">
        <v>-15546546.0694027</v>
      </c>
      <c r="P20">
        <f t="shared" si="0"/>
        <v>8.8090323712652872</v>
      </c>
      <c r="Q20">
        <f t="shared" si="1"/>
        <v>9.1421581049252136</v>
      </c>
    </row>
    <row r="21" spans="1:28" x14ac:dyDescent="0.35">
      <c r="A21" t="s">
        <v>32</v>
      </c>
      <c r="B21">
        <v>10.5388888888889</v>
      </c>
      <c r="C21">
        <v>2.8222222222222202</v>
      </c>
      <c r="D21">
        <v>3.1444444444444399</v>
      </c>
      <c r="E21">
        <v>1.30277777777778</v>
      </c>
      <c r="F21">
        <v>0.36388888888888898</v>
      </c>
      <c r="G21">
        <v>0.77777777777777801</v>
      </c>
      <c r="H21">
        <v>360</v>
      </c>
      <c r="I21">
        <v>13.796666666666701</v>
      </c>
      <c r="J21">
        <v>1563518</v>
      </c>
      <c r="K21">
        <v>521172.66666666698</v>
      </c>
      <c r="L21">
        <v>10708552.054382199</v>
      </c>
      <c r="M21">
        <v>-10187379.3877155</v>
      </c>
      <c r="P21">
        <f t="shared" si="0"/>
        <v>8.8090323712652872</v>
      </c>
      <c r="Q21">
        <f t="shared" si="1"/>
        <v>4.9876342954014135</v>
      </c>
    </row>
    <row r="22" spans="1:28" x14ac:dyDescent="0.35">
      <c r="A22" t="s">
        <v>33</v>
      </c>
      <c r="B22">
        <v>14.8890322580645</v>
      </c>
      <c r="C22">
        <v>8.3290322580645206</v>
      </c>
      <c r="D22">
        <v>3.26451612903226</v>
      </c>
      <c r="E22">
        <v>2.0064516129032302</v>
      </c>
      <c r="F22">
        <v>0.79096774193548403</v>
      </c>
      <c r="G22">
        <v>0.98193548387096796</v>
      </c>
      <c r="H22">
        <v>777</v>
      </c>
      <c r="I22">
        <v>21.864193548387099</v>
      </c>
      <c r="J22">
        <v>30351780</v>
      </c>
      <c r="K22">
        <v>32600060</v>
      </c>
      <c r="L22">
        <v>21115333.4932127</v>
      </c>
      <c r="M22">
        <v>11484726.5067873</v>
      </c>
      <c r="P22">
        <f t="shared" si="0"/>
        <v>23.677290981592144</v>
      </c>
      <c r="Q22">
        <f t="shared" si="1"/>
        <v>-1.8130974332050442</v>
      </c>
    </row>
    <row r="23" spans="1:28" x14ac:dyDescent="0.35">
      <c r="A23" t="s">
        <v>34</v>
      </c>
      <c r="B23">
        <v>12.3051948051948</v>
      </c>
      <c r="C23">
        <v>7.05627705627706</v>
      </c>
      <c r="D23">
        <v>6.7965367965367998</v>
      </c>
      <c r="E23">
        <v>2.8614718614718599</v>
      </c>
      <c r="F23">
        <v>0.64718614718614698</v>
      </c>
      <c r="G23">
        <v>1.39393939393939</v>
      </c>
      <c r="H23">
        <v>464</v>
      </c>
      <c r="I23">
        <v>22.2808441558442</v>
      </c>
      <c r="J23">
        <v>35448672</v>
      </c>
      <c r="K23">
        <v>37893408</v>
      </c>
      <c r="L23">
        <v>21652795.824820898</v>
      </c>
      <c r="M23">
        <v>16240612.1751791</v>
      </c>
      <c r="P23">
        <f t="shared" si="0"/>
        <v>26.130707341101466</v>
      </c>
      <c r="Q23">
        <f t="shared" si="1"/>
        <v>-3.8498631852572665</v>
      </c>
      <c r="T23" t="s">
        <v>369</v>
      </c>
    </row>
    <row r="24" spans="1:28" ht="15" thickBot="1" x14ac:dyDescent="0.4">
      <c r="A24" t="s">
        <v>35</v>
      </c>
      <c r="B24">
        <v>15.3262411347518</v>
      </c>
      <c r="C24">
        <v>4.3297872340425503</v>
      </c>
      <c r="D24">
        <v>1.6950354609929099</v>
      </c>
      <c r="E24">
        <v>1.8049645390070901</v>
      </c>
      <c r="F24">
        <v>0.230496453900709</v>
      </c>
      <c r="G24">
        <v>0.57801418439716301</v>
      </c>
      <c r="H24">
        <v>282</v>
      </c>
      <c r="I24">
        <v>16.559574468085099</v>
      </c>
      <c r="J24">
        <v>6586800</v>
      </c>
      <c r="K24">
        <v>6916200</v>
      </c>
      <c r="L24">
        <v>14272590.7054526</v>
      </c>
      <c r="M24">
        <v>-7356390.7054526201</v>
      </c>
      <c r="P24">
        <f t="shared" si="0"/>
        <v>11.773066604251536</v>
      </c>
      <c r="Q24">
        <f t="shared" si="1"/>
        <v>4.7865078638335632</v>
      </c>
    </row>
    <row r="25" spans="1:28" x14ac:dyDescent="0.35">
      <c r="A25" t="s">
        <v>36</v>
      </c>
      <c r="B25">
        <v>4.2284219703574504</v>
      </c>
      <c r="C25">
        <v>4.96861377506539</v>
      </c>
      <c r="D25">
        <v>0.55100261551874496</v>
      </c>
      <c r="E25">
        <v>0.77593722755013095</v>
      </c>
      <c r="F25">
        <v>1.0523103748910201</v>
      </c>
      <c r="G25">
        <v>0.227550130775937</v>
      </c>
      <c r="H25">
        <v>1149</v>
      </c>
      <c r="I25">
        <v>8.5891020052310392</v>
      </c>
      <c r="J25">
        <v>2905851</v>
      </c>
      <c r="K25">
        <v>968617</v>
      </c>
      <c r="L25">
        <v>3991005.5181652401</v>
      </c>
      <c r="M25">
        <v>-3022388.5181652401</v>
      </c>
      <c r="P25">
        <f t="shared" si="0"/>
        <v>9.0164185562222823</v>
      </c>
      <c r="Q25">
        <f t="shared" si="1"/>
        <v>-0.4273165509912431</v>
      </c>
      <c r="T25" s="4" t="s">
        <v>370</v>
      </c>
      <c r="U25" s="4" t="s">
        <v>371</v>
      </c>
      <c r="V25" s="4" t="s">
        <v>372</v>
      </c>
      <c r="W25" s="4" t="s">
        <v>373</v>
      </c>
    </row>
    <row r="26" spans="1:28" x14ac:dyDescent="0.35">
      <c r="A26" t="s">
        <v>37</v>
      </c>
      <c r="B26">
        <v>3.3502109704641301</v>
      </c>
      <c r="C26">
        <v>1.2573839662447299</v>
      </c>
      <c r="D26">
        <v>1.9324894514767901</v>
      </c>
      <c r="E26">
        <v>0.886075949367089</v>
      </c>
      <c r="F26">
        <v>0.109704641350211</v>
      </c>
      <c r="G26">
        <v>0.47679324894514802</v>
      </c>
      <c r="H26">
        <v>237</v>
      </c>
      <c r="I26">
        <v>5.5945147679324903</v>
      </c>
      <c r="J26">
        <v>2385480</v>
      </c>
      <c r="K26">
        <v>2504800</v>
      </c>
      <c r="L26">
        <v>128109.821010599</v>
      </c>
      <c r="M26">
        <v>2376690.1789894002</v>
      </c>
      <c r="P26">
        <f t="shared" si="0"/>
        <v>9.7284247389633585</v>
      </c>
      <c r="Q26">
        <f t="shared" si="1"/>
        <v>-4.1339099710308682</v>
      </c>
      <c r="T26" s="2">
        <v>1</v>
      </c>
      <c r="U26" s="2">
        <v>15392002.797658866</v>
      </c>
      <c r="V26" s="2">
        <v>5874179.2023411337</v>
      </c>
      <c r="W26" s="2">
        <v>0.7996920442701313</v>
      </c>
    </row>
    <row r="27" spans="1:28" x14ac:dyDescent="0.35">
      <c r="A27" t="s">
        <v>38</v>
      </c>
      <c r="B27">
        <v>10.9030023094688</v>
      </c>
      <c r="C27">
        <v>6.5808314087759801</v>
      </c>
      <c r="D27">
        <v>1.20554272517321</v>
      </c>
      <c r="E27">
        <v>1.0138568129330301</v>
      </c>
      <c r="F27">
        <v>0.33833718244803701</v>
      </c>
      <c r="G27">
        <v>0.54503464203233298</v>
      </c>
      <c r="H27">
        <v>868</v>
      </c>
      <c r="I27">
        <v>15.023903002309501</v>
      </c>
      <c r="J27">
        <v>10843350</v>
      </c>
      <c r="K27">
        <v>11710818</v>
      </c>
      <c r="L27">
        <v>12291636.9955386</v>
      </c>
      <c r="M27">
        <v>-580818.99553855101</v>
      </c>
      <c r="P27">
        <f t="shared" si="0"/>
        <v>13.995326360987324</v>
      </c>
      <c r="Q27">
        <f t="shared" si="1"/>
        <v>1.0285766413221769</v>
      </c>
      <c r="T27" s="2">
        <v>2</v>
      </c>
      <c r="U27" s="2">
        <v>1520816.5453446209</v>
      </c>
      <c r="V27" s="2">
        <v>-864758.21201128792</v>
      </c>
      <c r="W27" s="2">
        <v>-0.11772542827550773</v>
      </c>
    </row>
    <row r="28" spans="1:28" x14ac:dyDescent="0.35">
      <c r="A28" t="s">
        <v>39</v>
      </c>
      <c r="B28">
        <v>12.8892455858748</v>
      </c>
      <c r="C28">
        <v>3.10754414125201</v>
      </c>
      <c r="D28">
        <v>2.9470304975923001</v>
      </c>
      <c r="E28">
        <v>1.31781701444623</v>
      </c>
      <c r="F28">
        <v>0.23434991974317801</v>
      </c>
      <c r="G28">
        <v>0.92937399678972699</v>
      </c>
      <c r="H28">
        <v>624</v>
      </c>
      <c r="I28">
        <v>15.604815409309801</v>
      </c>
      <c r="J28" s="1">
        <v>18000000</v>
      </c>
      <c r="K28">
        <v>17986666.666666701</v>
      </c>
      <c r="L28">
        <v>13040990.3653371</v>
      </c>
      <c r="M28">
        <v>4945676.3013296099</v>
      </c>
      <c r="P28">
        <f t="shared" si="0"/>
        <v>16.904122417586073</v>
      </c>
      <c r="Q28">
        <f t="shared" si="1"/>
        <v>-1.2993070082762728</v>
      </c>
      <c r="T28" s="2">
        <v>3</v>
      </c>
      <c r="U28" s="2">
        <v>5273026.8214639835</v>
      </c>
      <c r="V28" s="2">
        <v>485595.84520268627</v>
      </c>
      <c r="W28" s="2">
        <v>6.6107471488859579E-2</v>
      </c>
    </row>
    <row r="29" spans="1:28" x14ac:dyDescent="0.35">
      <c r="A29" t="s">
        <v>40</v>
      </c>
      <c r="B29">
        <v>3.5814536340852099</v>
      </c>
      <c r="C29">
        <v>2.13533834586466</v>
      </c>
      <c r="D29">
        <v>0.38095238095238099</v>
      </c>
      <c r="E29">
        <v>0.55639097744360899</v>
      </c>
      <c r="F29">
        <v>0.466165413533835</v>
      </c>
      <c r="G29">
        <v>0.16040100250626599</v>
      </c>
      <c r="H29">
        <v>399</v>
      </c>
      <c r="I29">
        <v>5.1236842105263198</v>
      </c>
      <c r="J29">
        <v>2200000</v>
      </c>
      <c r="K29">
        <v>1466666.66666667</v>
      </c>
      <c r="L29">
        <v>-479242.44164512597</v>
      </c>
      <c r="M29">
        <v>1945909.10831179</v>
      </c>
      <c r="P29">
        <f t="shared" si="0"/>
        <v>9.2472598309784804</v>
      </c>
      <c r="Q29">
        <f t="shared" si="1"/>
        <v>-4.1235756204521605</v>
      </c>
      <c r="T29" s="2">
        <v>4</v>
      </c>
      <c r="U29" s="2">
        <v>5596127.2499724589</v>
      </c>
      <c r="V29" s="2">
        <v>-3800056.5833057892</v>
      </c>
      <c r="W29" s="2">
        <v>-0.51732759808125084</v>
      </c>
    </row>
    <row r="30" spans="1:28" x14ac:dyDescent="0.35">
      <c r="A30" t="s">
        <v>41</v>
      </c>
      <c r="B30">
        <v>6.4694960212201602</v>
      </c>
      <c r="C30">
        <v>1.5172413793103401</v>
      </c>
      <c r="D30">
        <v>1.8355437665782499</v>
      </c>
      <c r="E30">
        <v>0.85676392572944304</v>
      </c>
      <c r="F30">
        <v>0.16710875331565</v>
      </c>
      <c r="G30">
        <v>0.46949602122015899</v>
      </c>
      <c r="H30">
        <v>377</v>
      </c>
      <c r="I30">
        <v>8.1096816976127304</v>
      </c>
      <c r="J30">
        <v>2201520</v>
      </c>
      <c r="K30">
        <v>2888786.3333333302</v>
      </c>
      <c r="L30">
        <v>3372572.8272218402</v>
      </c>
      <c r="M30">
        <v>-483786.49388850899</v>
      </c>
      <c r="P30">
        <f t="shared" si="0"/>
        <v>9.9063987455897884</v>
      </c>
      <c r="Q30">
        <f t="shared" si="1"/>
        <v>-1.796717047977058</v>
      </c>
      <c r="T30" s="2">
        <v>5</v>
      </c>
      <c r="U30" s="2">
        <v>17440884.874535061</v>
      </c>
      <c r="V30" s="2">
        <v>-2107551.541201761</v>
      </c>
      <c r="W30" s="2">
        <v>-0.28691535316399519</v>
      </c>
    </row>
    <row r="31" spans="1:28" x14ac:dyDescent="0.35">
      <c r="A31" t="s">
        <v>42</v>
      </c>
      <c r="B31">
        <v>20.1065830721003</v>
      </c>
      <c r="C31">
        <v>3.79414838035528</v>
      </c>
      <c r="D31">
        <v>3.9446185997910099</v>
      </c>
      <c r="E31">
        <v>2.2664576802507801</v>
      </c>
      <c r="F31">
        <v>0.40125391849529801</v>
      </c>
      <c r="G31">
        <v>1.0470219435736701</v>
      </c>
      <c r="H31">
        <v>959</v>
      </c>
      <c r="I31">
        <v>22.374921630094001</v>
      </c>
      <c r="J31">
        <v>43279250</v>
      </c>
      <c r="K31">
        <v>46741590</v>
      </c>
      <c r="L31">
        <v>21774151.938930001</v>
      </c>
      <c r="M31">
        <v>24967438.061069999</v>
      </c>
      <c r="P31">
        <f t="shared" si="0"/>
        <v>30.231755386821479</v>
      </c>
      <c r="Q31">
        <f t="shared" si="1"/>
        <v>-7.8568337567274789</v>
      </c>
      <c r="T31" s="2">
        <v>6</v>
      </c>
      <c r="U31" s="2">
        <v>7153780.2074147072</v>
      </c>
      <c r="V31" s="2">
        <v>-319646.87408137694</v>
      </c>
      <c r="W31" s="2">
        <v>-4.3515707194771561E-2</v>
      </c>
    </row>
    <row r="32" spans="1:28" x14ac:dyDescent="0.35">
      <c r="A32" t="s">
        <v>43</v>
      </c>
      <c r="B32">
        <v>9.0953608247422704</v>
      </c>
      <c r="C32">
        <v>4.8659793814433003</v>
      </c>
      <c r="D32">
        <v>1.2242268041237101</v>
      </c>
      <c r="E32">
        <v>0.64690721649484495</v>
      </c>
      <c r="F32">
        <v>0.69587628865979401</v>
      </c>
      <c r="G32">
        <v>0.64432989690721698</v>
      </c>
      <c r="H32">
        <v>388</v>
      </c>
      <c r="I32">
        <v>12.9552835051546</v>
      </c>
      <c r="J32">
        <v>4343919</v>
      </c>
      <c r="K32">
        <v>9781306.3333333302</v>
      </c>
      <c r="L32">
        <v>9623202.0088796709</v>
      </c>
      <c r="M32">
        <v>158104.32445366299</v>
      </c>
      <c r="P32">
        <f t="shared" si="0"/>
        <v>13.101016089139694</v>
      </c>
      <c r="Q32">
        <f t="shared" si="1"/>
        <v>-0.14573258398509381</v>
      </c>
      <c r="T32" s="2">
        <v>7</v>
      </c>
      <c r="U32" s="2">
        <v>6512993.4555097669</v>
      </c>
      <c r="V32" s="2">
        <v>2947006.5444902331</v>
      </c>
      <c r="W32" s="2">
        <v>0.40119608320794781</v>
      </c>
    </row>
    <row r="33" spans="1:23" x14ac:dyDescent="0.35">
      <c r="A33" t="s">
        <v>44</v>
      </c>
      <c r="B33">
        <v>18.093603744149799</v>
      </c>
      <c r="C33">
        <v>4.8065522620904799</v>
      </c>
      <c r="D33">
        <v>3.87675507020281</v>
      </c>
      <c r="E33">
        <v>2.3525741029641201</v>
      </c>
      <c r="F33">
        <v>0.53822152886115404</v>
      </c>
      <c r="G33">
        <v>0.68642745709828401</v>
      </c>
      <c r="H33">
        <v>644</v>
      </c>
      <c r="I33">
        <v>21.3405616224649</v>
      </c>
      <c r="J33">
        <v>31650600</v>
      </c>
      <c r="K33">
        <v>33833400</v>
      </c>
      <c r="L33">
        <v>20439869.613468599</v>
      </c>
      <c r="M33">
        <v>13393530.3865314</v>
      </c>
      <c r="P33">
        <f t="shared" si="0"/>
        <v>24.248932319519902</v>
      </c>
      <c r="Q33">
        <f t="shared" si="1"/>
        <v>-2.9083706970550018</v>
      </c>
      <c r="T33" s="2">
        <v>8</v>
      </c>
      <c r="U33" s="2">
        <v>3510266.7633886077</v>
      </c>
      <c r="V33" s="2">
        <v>-2204066.7633886077</v>
      </c>
      <c r="W33" s="2">
        <v>-0.30005462806099265</v>
      </c>
    </row>
    <row r="34" spans="1:23" x14ac:dyDescent="0.35">
      <c r="A34" t="s">
        <v>45</v>
      </c>
      <c r="B34">
        <v>1.59649122807018</v>
      </c>
      <c r="C34">
        <v>1.07894736842105</v>
      </c>
      <c r="D34">
        <v>0.29824561403508798</v>
      </c>
      <c r="E34">
        <v>0.31578947368421101</v>
      </c>
      <c r="F34">
        <v>0.16666666666666699</v>
      </c>
      <c r="G34">
        <v>0.20175438596491199</v>
      </c>
      <c r="H34">
        <v>114</v>
      </c>
      <c r="I34">
        <v>2.5692982456140401</v>
      </c>
      <c r="J34">
        <v>201802</v>
      </c>
      <c r="K34">
        <v>67267.333333333299</v>
      </c>
      <c r="L34">
        <v>-3774296.4076245199</v>
      </c>
      <c r="M34">
        <v>3841563.7409578599</v>
      </c>
      <c r="P34">
        <f t="shared" si="0"/>
        <v>8.5986515743729353</v>
      </c>
      <c r="Q34">
        <f t="shared" si="1"/>
        <v>-6.0293533287588952</v>
      </c>
      <c r="T34" s="2">
        <v>9</v>
      </c>
      <c r="U34" s="2">
        <v>23714397.196974628</v>
      </c>
      <c r="V34" s="2">
        <v>-19602299.196974628</v>
      </c>
      <c r="W34" s="2">
        <v>-2.6685945690890494</v>
      </c>
    </row>
    <row r="35" spans="1:23" x14ac:dyDescent="0.35">
      <c r="A35" t="s">
        <v>46</v>
      </c>
      <c r="B35">
        <v>14.7152317880795</v>
      </c>
      <c r="C35">
        <v>5.6938925680647499</v>
      </c>
      <c r="D35">
        <v>1.31640912435614</v>
      </c>
      <c r="E35">
        <v>1.49300956585725</v>
      </c>
      <c r="F35">
        <v>1.7483443708609301</v>
      </c>
      <c r="G35">
        <v>0.55481972038263405</v>
      </c>
      <c r="H35">
        <v>1361</v>
      </c>
      <c r="I35">
        <v>18.464606328182501</v>
      </c>
      <c r="J35">
        <v>13906976</v>
      </c>
      <c r="K35">
        <v>4635658.6666666698</v>
      </c>
      <c r="L35">
        <v>16730004.2960987</v>
      </c>
      <c r="M35">
        <v>-12094345.629432</v>
      </c>
      <c r="P35">
        <f t="shared" si="0"/>
        <v>10.716057426744747</v>
      </c>
      <c r="Q35">
        <f t="shared" si="1"/>
        <v>7.7485489014377542</v>
      </c>
      <c r="T35" s="2">
        <v>10</v>
      </c>
      <c r="U35" s="2">
        <v>305629.26861882396</v>
      </c>
      <c r="V35" s="2">
        <v>3361037.3980478458</v>
      </c>
      <c r="W35" s="2">
        <v>0.45756092470621823</v>
      </c>
    </row>
    <row r="36" spans="1:23" x14ac:dyDescent="0.35">
      <c r="A36" t="s">
        <v>47</v>
      </c>
      <c r="B36">
        <v>8.1833060556464794</v>
      </c>
      <c r="C36">
        <v>3.9083469721767599</v>
      </c>
      <c r="D36">
        <v>2.2029459901800301</v>
      </c>
      <c r="E36">
        <v>1.0294599018003301</v>
      </c>
      <c r="F36">
        <v>0.435351882160393</v>
      </c>
      <c r="G36">
        <v>0.86743044189852703</v>
      </c>
      <c r="H36">
        <v>613</v>
      </c>
      <c r="I36">
        <v>12.2551554828151</v>
      </c>
      <c r="J36">
        <v>6479000</v>
      </c>
      <c r="K36">
        <v>4427316.6666666698</v>
      </c>
      <c r="L36">
        <v>8720065.3457471803</v>
      </c>
      <c r="M36">
        <v>-4292748.6790805096</v>
      </c>
      <c r="P36">
        <f t="shared" si="0"/>
        <v>10.619492894963937</v>
      </c>
      <c r="Q36">
        <f t="shared" si="1"/>
        <v>1.6356625878511633</v>
      </c>
      <c r="T36" s="2">
        <v>11</v>
      </c>
      <c r="U36" s="2">
        <v>18814483.853168726</v>
      </c>
      <c r="V36" s="2">
        <v>-16627817.186502056</v>
      </c>
      <c r="W36" s="2">
        <v>-2.2636580634660115</v>
      </c>
    </row>
    <row r="37" spans="1:23" x14ac:dyDescent="0.35">
      <c r="A37" t="s">
        <v>48</v>
      </c>
      <c r="B37">
        <v>3.6447368421052602</v>
      </c>
      <c r="C37">
        <v>1.18859649122807</v>
      </c>
      <c r="D37">
        <v>0.66228070175438603</v>
      </c>
      <c r="E37">
        <v>0.43421052631578899</v>
      </c>
      <c r="F37">
        <v>0.100877192982456</v>
      </c>
      <c r="G37">
        <v>0.24561403508771901</v>
      </c>
      <c r="H37">
        <v>228</v>
      </c>
      <c r="I37">
        <v>4.4760964912280699</v>
      </c>
      <c r="J37">
        <v>1461055</v>
      </c>
      <c r="K37">
        <v>1733539.33333333</v>
      </c>
      <c r="L37">
        <v>-1314604.2515298401</v>
      </c>
      <c r="M37">
        <v>3048143.5848631701</v>
      </c>
      <c r="P37">
        <f t="shared" si="0"/>
        <v>9.3709527690407182</v>
      </c>
      <c r="Q37">
        <f t="shared" si="1"/>
        <v>-4.8948562778126483</v>
      </c>
      <c r="T37" s="2">
        <v>12</v>
      </c>
      <c r="U37" s="2">
        <v>11792266.355836047</v>
      </c>
      <c r="V37" s="2">
        <v>-9660361.3558360469</v>
      </c>
      <c r="W37" s="2">
        <v>-1.3151308216742532</v>
      </c>
    </row>
    <row r="38" spans="1:23" x14ac:dyDescent="0.35">
      <c r="A38" t="s">
        <v>49</v>
      </c>
      <c r="B38">
        <v>14.2565947242206</v>
      </c>
      <c r="C38">
        <v>3.9148681055155898</v>
      </c>
      <c r="D38">
        <v>2.3944844124700202</v>
      </c>
      <c r="E38">
        <v>1.5551558752997601</v>
      </c>
      <c r="F38">
        <v>0.296163069544364</v>
      </c>
      <c r="G38">
        <v>0.84652278177457996</v>
      </c>
      <c r="H38">
        <v>836</v>
      </c>
      <c r="I38">
        <v>16.583932853716998</v>
      </c>
      <c r="J38">
        <v>21177750</v>
      </c>
      <c r="K38">
        <v>13485863.6666667</v>
      </c>
      <c r="L38">
        <v>14304012.0318629</v>
      </c>
      <c r="M38">
        <v>-818148.36519621895</v>
      </c>
      <c r="P38">
        <f t="shared" si="0"/>
        <v>14.818043113688303</v>
      </c>
      <c r="Q38">
        <f t="shared" si="1"/>
        <v>1.7658897400286957</v>
      </c>
      <c r="T38" s="2">
        <v>13</v>
      </c>
      <c r="U38" s="2">
        <v>17698189.799539573</v>
      </c>
      <c r="V38" s="2">
        <v>10376447.867127128</v>
      </c>
      <c r="W38" s="2">
        <v>1.4126165582109262</v>
      </c>
    </row>
    <row r="39" spans="1:23" x14ac:dyDescent="0.35">
      <c r="A39" t="s">
        <v>50</v>
      </c>
      <c r="B39">
        <v>18.100000000000001</v>
      </c>
      <c r="C39">
        <v>3.4196078431372499</v>
      </c>
      <c r="D39">
        <v>3.4852941176470602</v>
      </c>
      <c r="E39">
        <v>1.7245098039215701</v>
      </c>
      <c r="F39">
        <v>0.39509803921568598</v>
      </c>
      <c r="G39">
        <v>0.83039215686274503</v>
      </c>
      <c r="H39">
        <v>1023</v>
      </c>
      <c r="I39">
        <v>20.1592156862745</v>
      </c>
      <c r="J39">
        <v>33333333</v>
      </c>
      <c r="K39">
        <v>34156378.333333299</v>
      </c>
      <c r="L39">
        <v>18915981.420490898</v>
      </c>
      <c r="M39">
        <v>15240396.9128424</v>
      </c>
      <c r="P39">
        <f t="shared" si="0"/>
        <v>24.398629699470547</v>
      </c>
      <c r="Q39">
        <f t="shared" si="1"/>
        <v>-4.2394140131960469</v>
      </c>
      <c r="T39" s="2">
        <v>14</v>
      </c>
      <c r="U39" s="2">
        <v>10695731.608847467</v>
      </c>
      <c r="V39" s="2">
        <v>13411411.391152533</v>
      </c>
      <c r="W39" s="2">
        <v>1.8257868244237565</v>
      </c>
    </row>
    <row r="40" spans="1:23" x14ac:dyDescent="0.35">
      <c r="A40" t="s">
        <v>51</v>
      </c>
      <c r="B40">
        <v>19.8655737704918</v>
      </c>
      <c r="C40">
        <v>4.8590163934426203</v>
      </c>
      <c r="D40">
        <v>6.8852459016393404</v>
      </c>
      <c r="E40">
        <v>3.3639344262295099</v>
      </c>
      <c r="F40">
        <v>0.577049180327869</v>
      </c>
      <c r="G40">
        <v>1</v>
      </c>
      <c r="H40">
        <v>305</v>
      </c>
      <c r="I40">
        <v>25.566721311475401</v>
      </c>
      <c r="J40">
        <v>10552800</v>
      </c>
      <c r="K40">
        <v>11849656.3333333</v>
      </c>
      <c r="L40">
        <v>25891443.665088002</v>
      </c>
      <c r="M40">
        <v>-14041787.331754601</v>
      </c>
      <c r="P40">
        <f t="shared" si="0"/>
        <v>14.059676605544631</v>
      </c>
      <c r="Q40">
        <f t="shared" si="1"/>
        <v>11.50704470593077</v>
      </c>
      <c r="T40" s="2">
        <v>15</v>
      </c>
      <c r="U40" s="2">
        <v>28987318.702932119</v>
      </c>
      <c r="V40" s="2">
        <v>11612761.297067881</v>
      </c>
      <c r="W40" s="2">
        <v>1.5809243302574287</v>
      </c>
    </row>
    <row r="41" spans="1:23" x14ac:dyDescent="0.35">
      <c r="A41" t="s">
        <v>52</v>
      </c>
      <c r="B41">
        <v>2.72887323943662</v>
      </c>
      <c r="C41">
        <v>1.02464788732394</v>
      </c>
      <c r="D41">
        <v>0.352112676056338</v>
      </c>
      <c r="E41">
        <v>0.21478873239436599</v>
      </c>
      <c r="F41">
        <v>7.0422535211267595E-2</v>
      </c>
      <c r="G41">
        <v>0.18661971830985899</v>
      </c>
      <c r="H41">
        <v>284</v>
      </c>
      <c r="I41">
        <v>3.3681338028168999</v>
      </c>
      <c r="J41" s="1">
        <v>2000000</v>
      </c>
      <c r="K41">
        <v>2006566.33333333</v>
      </c>
      <c r="L41">
        <v>-2743831.0405721902</v>
      </c>
      <c r="M41">
        <v>4750397.37390552</v>
      </c>
      <c r="P41">
        <f t="shared" si="0"/>
        <v>9.4974981819604327</v>
      </c>
      <c r="Q41">
        <f t="shared" si="1"/>
        <v>-6.1293643791435333</v>
      </c>
      <c r="T41" s="2">
        <v>16</v>
      </c>
      <c r="U41" s="2">
        <v>27592973.412823826</v>
      </c>
      <c r="V41" s="2">
        <v>-13638480.079490526</v>
      </c>
      <c r="W41" s="2">
        <v>-1.8566992323214211</v>
      </c>
    </row>
    <row r="42" spans="1:23" x14ac:dyDescent="0.35">
      <c r="A42" t="s">
        <v>53</v>
      </c>
      <c r="B42">
        <v>6.7995951417004097</v>
      </c>
      <c r="C42">
        <v>3.1902834008097201</v>
      </c>
      <c r="D42">
        <v>1.3502024291498</v>
      </c>
      <c r="E42">
        <v>0.82388663967611298</v>
      </c>
      <c r="F42">
        <v>0.34210526315789502</v>
      </c>
      <c r="G42">
        <v>0.69028340080971695</v>
      </c>
      <c r="H42">
        <v>494</v>
      </c>
      <c r="I42">
        <v>9.6225708502024307</v>
      </c>
      <c r="J42">
        <v>6479000</v>
      </c>
      <c r="K42">
        <v>6802950</v>
      </c>
      <c r="L42">
        <v>5324138.2800562503</v>
      </c>
      <c r="M42">
        <v>1478811.71994375</v>
      </c>
      <c r="P42">
        <f t="shared" si="0"/>
        <v>11.720576308371795</v>
      </c>
      <c r="Q42">
        <f t="shared" si="1"/>
        <v>-2.0980054581693643</v>
      </c>
      <c r="T42" s="2">
        <v>17</v>
      </c>
      <c r="U42" s="2">
        <v>-3640972.3313842919</v>
      </c>
      <c r="V42" s="2">
        <v>4918748.3313842919</v>
      </c>
      <c r="W42" s="2">
        <v>0.66962272904567244</v>
      </c>
    </row>
    <row r="43" spans="1:23" x14ac:dyDescent="0.35">
      <c r="A43" t="s">
        <v>54</v>
      </c>
      <c r="B43">
        <v>11.716867469879499</v>
      </c>
      <c r="C43">
        <v>1.93674698795181</v>
      </c>
      <c r="D43">
        <v>1.67771084337349</v>
      </c>
      <c r="E43">
        <v>1.1596385542168699</v>
      </c>
      <c r="F43">
        <v>0.120481927710843</v>
      </c>
      <c r="G43">
        <v>0.37951807228915702</v>
      </c>
      <c r="H43">
        <v>332</v>
      </c>
      <c r="I43">
        <v>11.9349397590361</v>
      </c>
      <c r="J43">
        <v>2138160</v>
      </c>
      <c r="K43">
        <v>2806523</v>
      </c>
      <c r="L43">
        <v>8307000.0904959403</v>
      </c>
      <c r="M43">
        <v>-5500477.0904959403</v>
      </c>
      <c r="P43">
        <f t="shared" si="0"/>
        <v>9.8682704744487708</v>
      </c>
      <c r="Q43">
        <f t="shared" si="1"/>
        <v>2.0666692845873289</v>
      </c>
      <c r="T43" s="2">
        <v>18</v>
      </c>
      <c r="U43" s="2">
        <v>16068848.361914849</v>
      </c>
      <c r="V43" s="2">
        <v>-15547675.695248183</v>
      </c>
      <c r="W43" s="2">
        <v>-2.1166110416629413</v>
      </c>
    </row>
    <row r="44" spans="1:23" x14ac:dyDescent="0.35">
      <c r="A44" t="s">
        <v>55</v>
      </c>
      <c r="B44">
        <v>11.4389721627409</v>
      </c>
      <c r="C44">
        <v>3.5224839400428301</v>
      </c>
      <c r="D44">
        <v>1.7237687366167</v>
      </c>
      <c r="E44">
        <v>0.83725910064239795</v>
      </c>
      <c r="F44">
        <v>0.27194860813704502</v>
      </c>
      <c r="G44">
        <v>0.73875802997858697</v>
      </c>
      <c r="H44">
        <v>467</v>
      </c>
      <c r="I44">
        <v>13.7130620985011</v>
      </c>
      <c r="J44">
        <v>5887899</v>
      </c>
      <c r="K44">
        <v>4649477.3333333302</v>
      </c>
      <c r="L44">
        <v>10600705.5630171</v>
      </c>
      <c r="M44">
        <v>-5951228.2296837401</v>
      </c>
      <c r="P44">
        <f t="shared" si="0"/>
        <v>10.722462247071427</v>
      </c>
      <c r="Q44">
        <f t="shared" si="1"/>
        <v>2.990599851429673</v>
      </c>
      <c r="T44" s="2">
        <v>19</v>
      </c>
      <c r="U44" s="2">
        <v>10711345.385208761</v>
      </c>
      <c r="V44" s="2">
        <v>-10190172.718542095</v>
      </c>
      <c r="W44" s="2">
        <v>-1.3872576528664453</v>
      </c>
    </row>
    <row r="45" spans="1:23" x14ac:dyDescent="0.35">
      <c r="A45" t="s">
        <v>56</v>
      </c>
      <c r="B45">
        <v>6.4590163934426199</v>
      </c>
      <c r="C45">
        <v>1.6974664679582701</v>
      </c>
      <c r="D45">
        <v>2.63189269746647</v>
      </c>
      <c r="E45">
        <v>0.95678092399403902</v>
      </c>
      <c r="F45">
        <v>0.18330849478390501</v>
      </c>
      <c r="G45">
        <v>0.535022354694486</v>
      </c>
      <c r="H45">
        <v>673</v>
      </c>
      <c r="I45">
        <v>9.0740685543964208</v>
      </c>
      <c r="J45" s="1">
        <v>6000000</v>
      </c>
      <c r="K45">
        <v>4166666.6666666698</v>
      </c>
      <c r="L45">
        <v>4616592.6350477999</v>
      </c>
      <c r="M45">
        <v>-449925.96838113398</v>
      </c>
      <c r="P45">
        <f t="shared" si="0"/>
        <v>10.498684103608049</v>
      </c>
      <c r="Q45">
        <f t="shared" si="1"/>
        <v>-1.4246155492116284</v>
      </c>
      <c r="T45" s="2">
        <v>20</v>
      </c>
      <c r="U45" s="2">
        <v>21114896.132563271</v>
      </c>
      <c r="V45" s="2">
        <v>11485163.867436729</v>
      </c>
      <c r="W45" s="2">
        <v>1.5635536226520697</v>
      </c>
    </row>
    <row r="46" spans="1:23" x14ac:dyDescent="0.35">
      <c r="A46" t="s">
        <v>57</v>
      </c>
      <c r="B46">
        <v>12.7244582043344</v>
      </c>
      <c r="C46">
        <v>3.46594427244582</v>
      </c>
      <c r="D46">
        <v>3.6857585139318898</v>
      </c>
      <c r="E46">
        <v>1.6362229102167201</v>
      </c>
      <c r="F46">
        <v>0.36687306501548</v>
      </c>
      <c r="G46">
        <v>0.97832817337461297</v>
      </c>
      <c r="H46">
        <v>647</v>
      </c>
      <c r="I46">
        <v>16.528947368421001</v>
      </c>
      <c r="J46">
        <v>18796296</v>
      </c>
      <c r="K46">
        <v>6265432</v>
      </c>
      <c r="L46">
        <v>14233082.992992301</v>
      </c>
      <c r="M46">
        <v>-7967650.9929922698</v>
      </c>
      <c r="P46">
        <f t="shared" si="0"/>
        <v>11.471441837195758</v>
      </c>
      <c r="Q46">
        <f t="shared" si="1"/>
        <v>5.0575055312252424</v>
      </c>
      <c r="T46" s="2">
        <v>21</v>
      </c>
      <c r="U46" s="2">
        <v>21652191.613836169</v>
      </c>
      <c r="V46" s="2">
        <v>16241216.386163831</v>
      </c>
      <c r="W46" s="2">
        <v>2.2110274620339463</v>
      </c>
    </row>
    <row r="47" spans="1:23" x14ac:dyDescent="0.35">
      <c r="A47" t="s">
        <v>58</v>
      </c>
      <c r="B47">
        <v>2.6556603773584899</v>
      </c>
      <c r="C47">
        <v>2.7028301886792501</v>
      </c>
      <c r="D47">
        <v>0.51886792452830199</v>
      </c>
      <c r="E47">
        <v>0.48584905660377398</v>
      </c>
      <c r="F47">
        <v>0.53773584905660399</v>
      </c>
      <c r="G47">
        <v>0.22169811320754701</v>
      </c>
      <c r="H47">
        <v>212</v>
      </c>
      <c r="I47">
        <v>5.1893867924528303</v>
      </c>
      <c r="J47">
        <v>2674742</v>
      </c>
      <c r="K47">
        <v>2591580.6666666698</v>
      </c>
      <c r="L47">
        <v>-394488.78416115203</v>
      </c>
      <c r="M47">
        <v>2986069.4508278202</v>
      </c>
      <c r="P47">
        <f t="shared" si="0"/>
        <v>9.768646751060265</v>
      </c>
      <c r="Q47">
        <f t="shared" si="1"/>
        <v>-4.5792599586074347</v>
      </c>
      <c r="T47" s="2">
        <v>22</v>
      </c>
      <c r="U47" s="2">
        <v>14274277.612611307</v>
      </c>
      <c r="V47" s="2">
        <v>-7358077.6126113068</v>
      </c>
      <c r="W47" s="2">
        <v>-1.0017052468508787</v>
      </c>
    </row>
    <row r="48" spans="1:23" x14ac:dyDescent="0.35">
      <c r="A48" t="s">
        <v>59</v>
      </c>
      <c r="B48">
        <v>15.569377990430599</v>
      </c>
      <c r="C48">
        <v>7.6794258373205704</v>
      </c>
      <c r="D48">
        <v>1.87081339712919</v>
      </c>
      <c r="E48">
        <v>1.5358851674641101</v>
      </c>
      <c r="F48">
        <v>2.07655502392344</v>
      </c>
      <c r="G48">
        <v>0.61244019138756001</v>
      </c>
      <c r="H48">
        <v>209</v>
      </c>
      <c r="I48">
        <v>21.612440191387599</v>
      </c>
      <c r="J48">
        <v>9891240</v>
      </c>
      <c r="K48">
        <v>10385960</v>
      </c>
      <c r="L48">
        <v>20790581.905619901</v>
      </c>
      <c r="M48">
        <v>-10404621.905619901</v>
      </c>
      <c r="P48">
        <f t="shared" si="0"/>
        <v>13.38126730210308</v>
      </c>
      <c r="Q48">
        <f t="shared" si="1"/>
        <v>8.2311728892845188</v>
      </c>
      <c r="T48" s="2">
        <v>23</v>
      </c>
      <c r="U48" s="2">
        <v>3995884.2507523224</v>
      </c>
      <c r="V48" s="2">
        <v>-3027267.2507523224</v>
      </c>
      <c r="W48" s="2">
        <v>-0.41212252008609318</v>
      </c>
    </row>
    <row r="49" spans="1:23" x14ac:dyDescent="0.35">
      <c r="A49" t="s">
        <v>60</v>
      </c>
      <c r="B49">
        <v>6.5382059800664498</v>
      </c>
      <c r="C49">
        <v>3.7657807308970099</v>
      </c>
      <c r="D49">
        <v>0.36710963455149498</v>
      </c>
      <c r="E49">
        <v>0.41196013289036498</v>
      </c>
      <c r="F49">
        <v>0.71760797342192695</v>
      </c>
      <c r="G49">
        <v>0.36544850498338899</v>
      </c>
      <c r="H49">
        <v>604</v>
      </c>
      <c r="I49">
        <v>9.1604651162790702</v>
      </c>
      <c r="J49">
        <v>12690000</v>
      </c>
      <c r="K49">
        <v>11750000</v>
      </c>
      <c r="L49">
        <v>4728040.6847117404</v>
      </c>
      <c r="M49">
        <v>7021959.3152882596</v>
      </c>
      <c r="P49">
        <f t="shared" si="0"/>
        <v>14.013486844635537</v>
      </c>
      <c r="Q49">
        <f t="shared" si="1"/>
        <v>-4.8530217283564667</v>
      </c>
      <c r="T49" s="2">
        <v>24</v>
      </c>
      <c r="U49" s="2">
        <v>134187.75474115275</v>
      </c>
      <c r="V49" s="2">
        <v>2370612.2452588473</v>
      </c>
      <c r="W49" s="2">
        <v>0.32272759942824092</v>
      </c>
    </row>
    <row r="50" spans="1:23" x14ac:dyDescent="0.35">
      <c r="A50" t="s">
        <v>61</v>
      </c>
      <c r="B50">
        <v>15.565267395054599</v>
      </c>
      <c r="C50">
        <v>4.0442783208740698</v>
      </c>
      <c r="D50">
        <v>8.3208740655549196</v>
      </c>
      <c r="E50">
        <v>2.13398504887867</v>
      </c>
      <c r="F50">
        <v>0.15066129959746999</v>
      </c>
      <c r="G50">
        <v>1.81943645773433</v>
      </c>
      <c r="H50">
        <v>1742</v>
      </c>
      <c r="I50">
        <v>24.133352501437599</v>
      </c>
      <c r="J50">
        <v>28400000</v>
      </c>
      <c r="K50" s="1">
        <v>30000000</v>
      </c>
      <c r="L50">
        <v>24042456.2187494</v>
      </c>
      <c r="M50">
        <v>5957543.7812505998</v>
      </c>
      <c r="P50">
        <f t="shared" si="0"/>
        <v>22.472187946668726</v>
      </c>
      <c r="Q50">
        <f t="shared" si="1"/>
        <v>1.6611645547688738</v>
      </c>
      <c r="T50" s="2">
        <v>25</v>
      </c>
      <c r="U50" s="2">
        <v>12293938.871917365</v>
      </c>
      <c r="V50" s="2">
        <v>-583120.87191736512</v>
      </c>
      <c r="W50" s="2">
        <v>-7.9384217957519917E-2</v>
      </c>
    </row>
    <row r="51" spans="1:23" x14ac:dyDescent="0.35">
      <c r="A51" t="s">
        <v>62</v>
      </c>
      <c r="B51">
        <v>8.4307692307692292</v>
      </c>
      <c r="C51">
        <v>3.6092307692307699</v>
      </c>
      <c r="D51">
        <v>1.5846153846153801</v>
      </c>
      <c r="E51">
        <v>0.70769230769230795</v>
      </c>
      <c r="F51">
        <v>0.36</v>
      </c>
      <c r="G51">
        <v>0.66769230769230803</v>
      </c>
      <c r="H51">
        <v>325</v>
      </c>
      <c r="I51">
        <v>11.468923076923099</v>
      </c>
      <c r="J51">
        <v>2808600</v>
      </c>
      <c r="K51">
        <v>2949120</v>
      </c>
      <c r="L51">
        <v>7705857.53110909</v>
      </c>
      <c r="M51">
        <v>-4756737.53110909</v>
      </c>
      <c r="P51">
        <f t="shared" si="0"/>
        <v>9.9343628251910516</v>
      </c>
      <c r="Q51">
        <f t="shared" si="1"/>
        <v>1.5345602517320476</v>
      </c>
      <c r="T51" s="2">
        <v>26</v>
      </c>
      <c r="U51" s="2">
        <v>13043059.611717945</v>
      </c>
      <c r="V51" s="2">
        <v>4943607.0549487565</v>
      </c>
      <c r="W51" s="2">
        <v>0.6730069164836876</v>
      </c>
    </row>
    <row r="52" spans="1:23" x14ac:dyDescent="0.35">
      <c r="A52" t="s">
        <v>63</v>
      </c>
      <c r="B52">
        <v>2.2048192771084301</v>
      </c>
      <c r="C52">
        <v>2.19879518072289</v>
      </c>
      <c r="D52">
        <v>0.42771084337349402</v>
      </c>
      <c r="E52">
        <v>0.34939759036144602</v>
      </c>
      <c r="F52">
        <v>0.64457831325301196</v>
      </c>
      <c r="G52">
        <v>0.27108433734939802</v>
      </c>
      <c r="H52">
        <v>166</v>
      </c>
      <c r="I52">
        <v>4.5813253012048198</v>
      </c>
      <c r="J52">
        <v>1500000</v>
      </c>
      <c r="K52">
        <v>1746521</v>
      </c>
      <c r="L52">
        <v>-1178863.3680408101</v>
      </c>
      <c r="M52">
        <v>2925384.3680408099</v>
      </c>
      <c r="P52">
        <f t="shared" si="0"/>
        <v>9.3769696478428877</v>
      </c>
      <c r="Q52">
        <f t="shared" si="1"/>
        <v>-4.7956443466380678</v>
      </c>
      <c r="T52" s="2">
        <v>27</v>
      </c>
      <c r="U52" s="2">
        <v>-472975.96088017523</v>
      </c>
      <c r="V52" s="2">
        <v>1939642.6275468452</v>
      </c>
      <c r="W52" s="2">
        <v>0.26405676853682525</v>
      </c>
    </row>
    <row r="53" spans="1:23" x14ac:dyDescent="0.35">
      <c r="A53" t="s">
        <v>64</v>
      </c>
      <c r="B53">
        <v>4.3892617449664399</v>
      </c>
      <c r="C53">
        <v>2.6006711409396002</v>
      </c>
      <c r="D53">
        <v>1.0503355704698001</v>
      </c>
      <c r="E53">
        <v>0.47651006711409399</v>
      </c>
      <c r="F53">
        <v>0.30536912751677903</v>
      </c>
      <c r="G53">
        <v>0.64093959731543604</v>
      </c>
      <c r="H53">
        <v>298</v>
      </c>
      <c r="I53">
        <v>7.1308724832214798</v>
      </c>
      <c r="J53">
        <v>3433320</v>
      </c>
      <c r="K53">
        <v>5366587.6666666698</v>
      </c>
      <c r="L53">
        <v>2109948.7648758702</v>
      </c>
      <c r="M53">
        <v>3256638.9017908</v>
      </c>
      <c r="P53">
        <f t="shared" si="0"/>
        <v>11.054836053473954</v>
      </c>
      <c r="Q53">
        <f t="shared" si="1"/>
        <v>-3.9239635702524742</v>
      </c>
      <c r="T53" s="2">
        <v>28</v>
      </c>
      <c r="U53" s="2">
        <v>3377643.5466623772</v>
      </c>
      <c r="V53" s="2">
        <v>-488857.21332904696</v>
      </c>
      <c r="W53" s="2">
        <v>-6.6551463756417129E-2</v>
      </c>
    </row>
    <row r="54" spans="1:23" x14ac:dyDescent="0.35">
      <c r="A54" t="s">
        <v>65</v>
      </c>
      <c r="B54">
        <v>10.3303571428571</v>
      </c>
      <c r="C54">
        <v>9.26116071428571</v>
      </c>
      <c r="D54">
        <v>0.91852678571428603</v>
      </c>
      <c r="E54">
        <v>0.93303571428571397</v>
      </c>
      <c r="F54">
        <v>1.26227678571429</v>
      </c>
      <c r="G54">
        <v>0.60714285714285698</v>
      </c>
      <c r="H54">
        <v>898</v>
      </c>
      <c r="I54">
        <v>17.478124999999999</v>
      </c>
      <c r="J54">
        <v>18206896</v>
      </c>
      <c r="K54">
        <v>20362725.333333299</v>
      </c>
      <c r="L54">
        <v>15457483.519112701</v>
      </c>
      <c r="M54">
        <v>4905241.8142206697</v>
      </c>
      <c r="P54">
        <f t="shared" si="0"/>
        <v>18.005402968941045</v>
      </c>
      <c r="Q54">
        <f t="shared" si="1"/>
        <v>-0.52727796894104628</v>
      </c>
      <c r="T54" s="2">
        <v>29</v>
      </c>
      <c r="U54" s="2">
        <v>21773510.054033548</v>
      </c>
      <c r="V54" s="2">
        <v>24968079.945966452</v>
      </c>
      <c r="W54" s="2">
        <v>3.3990748674354863</v>
      </c>
    </row>
    <row r="55" spans="1:23" x14ac:dyDescent="0.35">
      <c r="A55" t="s">
        <v>66</v>
      </c>
      <c r="B55">
        <v>15.020283975659201</v>
      </c>
      <c r="C55">
        <v>3.56389452332657</v>
      </c>
      <c r="D55">
        <v>3.7626774847870199</v>
      </c>
      <c r="E55">
        <v>1.83569979716024</v>
      </c>
      <c r="F55">
        <v>0.15821501014198799</v>
      </c>
      <c r="G55">
        <v>0.66937119675456402</v>
      </c>
      <c r="H55">
        <v>493</v>
      </c>
      <c r="I55">
        <v>17.7887423935091</v>
      </c>
      <c r="J55">
        <v>7413955</v>
      </c>
      <c r="K55">
        <v>5785356</v>
      </c>
      <c r="L55">
        <v>15858167.3188373</v>
      </c>
      <c r="M55">
        <v>-10072811.3188373</v>
      </c>
      <c r="P55">
        <f t="shared" si="0"/>
        <v>11.248931185674678</v>
      </c>
      <c r="Q55">
        <f t="shared" si="1"/>
        <v>6.5398112078344219</v>
      </c>
      <c r="T55" s="2">
        <v>30</v>
      </c>
      <c r="U55" s="2">
        <v>9626332.2768428866</v>
      </c>
      <c r="V55" s="2">
        <v>154974.05649044365</v>
      </c>
      <c r="W55" s="2">
        <v>2.109767437709173E-2</v>
      </c>
    </row>
    <row r="56" spans="1:23" x14ac:dyDescent="0.35">
      <c r="A56" t="s">
        <v>67</v>
      </c>
      <c r="B56">
        <v>5.0638297872340399</v>
      </c>
      <c r="C56">
        <v>3.11246200607903</v>
      </c>
      <c r="D56">
        <v>1.82066869300912</v>
      </c>
      <c r="E56">
        <v>0.79939209726443805</v>
      </c>
      <c r="F56">
        <v>0.33738601823708197</v>
      </c>
      <c r="G56">
        <v>0.844984802431611</v>
      </c>
      <c r="H56">
        <v>329</v>
      </c>
      <c r="I56">
        <v>8.8911854103343497</v>
      </c>
      <c r="J56" s="1">
        <v>7000000</v>
      </c>
      <c r="K56">
        <v>7560000</v>
      </c>
      <c r="L56">
        <v>4380680.8200636404</v>
      </c>
      <c r="M56">
        <v>3179319.1799363601</v>
      </c>
      <c r="P56">
        <f t="shared" si="0"/>
        <v>12.071461769702985</v>
      </c>
      <c r="Q56">
        <f t="shared" si="1"/>
        <v>-3.1802763593686354</v>
      </c>
      <c r="T56" s="2">
        <v>31</v>
      </c>
      <c r="U56" s="2">
        <v>20439641.944491088</v>
      </c>
      <c r="V56" s="2">
        <v>13393758.055508912</v>
      </c>
      <c r="W56" s="2">
        <v>1.8233835555443516</v>
      </c>
    </row>
    <row r="57" spans="1:23" x14ac:dyDescent="0.35">
      <c r="A57" t="s">
        <v>68</v>
      </c>
      <c r="B57">
        <v>10.661214953270999</v>
      </c>
      <c r="C57">
        <v>3.6285046728972001</v>
      </c>
      <c r="D57">
        <v>3.3457943925233602</v>
      </c>
      <c r="E57">
        <v>1.6962616822429899</v>
      </c>
      <c r="F57">
        <v>0.34579439252336402</v>
      </c>
      <c r="G57">
        <v>0.62383177570093495</v>
      </c>
      <c r="H57">
        <v>428</v>
      </c>
      <c r="I57">
        <v>14.3660046728972</v>
      </c>
      <c r="J57">
        <v>3613680</v>
      </c>
      <c r="K57">
        <v>5632683.6666666698</v>
      </c>
      <c r="L57">
        <v>11442974.918108299</v>
      </c>
      <c r="M57">
        <v>-5810291.2514416398</v>
      </c>
      <c r="P57">
        <f t="shared" si="0"/>
        <v>11.178169013936781</v>
      </c>
      <c r="Q57">
        <f t="shared" si="1"/>
        <v>3.1878356589604184</v>
      </c>
      <c r="T57" s="2">
        <v>32</v>
      </c>
      <c r="U57" s="2">
        <v>-3767007.0070621944</v>
      </c>
      <c r="V57" s="2">
        <v>3834274.3403955279</v>
      </c>
      <c r="W57" s="2">
        <v>0.52198589452997446</v>
      </c>
    </row>
    <row r="58" spans="1:23" x14ac:dyDescent="0.35">
      <c r="A58" t="s">
        <v>69</v>
      </c>
      <c r="B58">
        <v>6.75</v>
      </c>
      <c r="C58">
        <v>2.1124999999999998</v>
      </c>
      <c r="D58">
        <v>2.375</v>
      </c>
      <c r="E58">
        <v>0.82499999999999996</v>
      </c>
      <c r="F58">
        <v>0.13125000000000001</v>
      </c>
      <c r="G58">
        <v>0.69374999999999998</v>
      </c>
      <c r="H58">
        <v>160</v>
      </c>
      <c r="I58">
        <v>9.5399999999999991</v>
      </c>
      <c r="J58">
        <v>508891</v>
      </c>
      <c r="K58">
        <v>756881</v>
      </c>
      <c r="L58">
        <v>5217625.2428053804</v>
      </c>
      <c r="M58">
        <v>-4460744.2428053804</v>
      </c>
      <c r="P58">
        <f t="shared" si="0"/>
        <v>8.9182809377817289</v>
      </c>
      <c r="Q58">
        <f t="shared" si="1"/>
        <v>0.62171906221827022</v>
      </c>
      <c r="T58" s="2">
        <v>33</v>
      </c>
      <c r="U58" s="2">
        <v>16730928.32136284</v>
      </c>
      <c r="V58" s="2">
        <v>-12095269.65469617</v>
      </c>
      <c r="W58" s="2">
        <v>-1.6466114810231747</v>
      </c>
    </row>
    <row r="59" spans="1:23" x14ac:dyDescent="0.35">
      <c r="A59" t="s">
        <v>70</v>
      </c>
      <c r="B59">
        <v>17.158000000000001</v>
      </c>
      <c r="C59">
        <v>2.5779999999999998</v>
      </c>
      <c r="D59">
        <v>3.504</v>
      </c>
      <c r="E59">
        <v>2.2400000000000002</v>
      </c>
      <c r="F59">
        <v>0.13</v>
      </c>
      <c r="G59">
        <v>0.73799999999999999</v>
      </c>
      <c r="H59">
        <v>501</v>
      </c>
      <c r="I59">
        <v>18.1829</v>
      </c>
      <c r="J59">
        <v>16700000</v>
      </c>
      <c r="K59">
        <v>17391666.666666701</v>
      </c>
      <c r="L59">
        <v>16366614.594358301</v>
      </c>
      <c r="M59">
        <v>1025052.07230834</v>
      </c>
      <c r="P59">
        <f t="shared" si="0"/>
        <v>16.628345587136224</v>
      </c>
      <c r="Q59">
        <f t="shared" si="1"/>
        <v>1.5545544128637765</v>
      </c>
      <c r="T59" s="2">
        <v>34</v>
      </c>
      <c r="U59" s="2">
        <v>8723475.9843453933</v>
      </c>
      <c r="V59" s="2">
        <v>-4296159.3176787235</v>
      </c>
      <c r="W59" s="2">
        <v>-0.5848654439918044</v>
      </c>
    </row>
    <row r="60" spans="1:23" x14ac:dyDescent="0.35">
      <c r="A60" t="s">
        <v>71</v>
      </c>
      <c r="B60">
        <v>10.417613636363599</v>
      </c>
      <c r="C60">
        <v>2.6363636363636398</v>
      </c>
      <c r="D60">
        <v>1.4403409090909101</v>
      </c>
      <c r="E60">
        <v>0.86647727272727304</v>
      </c>
      <c r="F60">
        <v>0.19602272727272699</v>
      </c>
      <c r="G60">
        <v>0.44318181818181801</v>
      </c>
      <c r="H60">
        <v>352</v>
      </c>
      <c r="I60">
        <v>11.568607954545501</v>
      </c>
      <c r="J60">
        <v>3552840</v>
      </c>
      <c r="K60">
        <v>4326922.3333333302</v>
      </c>
      <c r="L60">
        <v>7834446.9674236104</v>
      </c>
      <c r="M60">
        <v>-3507524.6340902699</v>
      </c>
      <c r="P60">
        <f t="shared" si="0"/>
        <v>10.572961078086971</v>
      </c>
      <c r="Q60">
        <f t="shared" si="1"/>
        <v>0.99564687645852956</v>
      </c>
      <c r="T60" s="2">
        <v>35</v>
      </c>
      <c r="U60" s="2">
        <v>-1308078.4402221711</v>
      </c>
      <c r="V60" s="2">
        <v>3041617.7735555014</v>
      </c>
      <c r="W60" s="2">
        <v>0.41407615454658864</v>
      </c>
    </row>
    <row r="61" spans="1:23" x14ac:dyDescent="0.35">
      <c r="A61" t="s">
        <v>72</v>
      </c>
      <c r="B61">
        <v>5.7734375</v>
      </c>
      <c r="C61">
        <v>2.0147569444444402</v>
      </c>
      <c r="D61">
        <v>2.4383680555555598</v>
      </c>
      <c r="E61">
        <v>0.84027777777777801</v>
      </c>
      <c r="F61">
        <v>0.17361111111111099</v>
      </c>
      <c r="G61">
        <v>0.6171875</v>
      </c>
      <c r="H61">
        <v>1154</v>
      </c>
      <c r="I61">
        <v>8.7509114583333307</v>
      </c>
      <c r="J61">
        <v>5155500</v>
      </c>
      <c r="K61">
        <v>1718500</v>
      </c>
      <c r="L61">
        <v>4199733.1292238096</v>
      </c>
      <c r="M61">
        <v>-2481233.12922381</v>
      </c>
      <c r="P61">
        <f t="shared" si="0"/>
        <v>9.3639821813453494</v>
      </c>
      <c r="Q61">
        <f t="shared" si="1"/>
        <v>-0.6130707230120187</v>
      </c>
      <c r="T61" s="2">
        <v>36</v>
      </c>
      <c r="U61" s="2">
        <v>14305689.184554042</v>
      </c>
      <c r="V61" s="2">
        <v>-819825.51788734272</v>
      </c>
      <c r="W61" s="2">
        <v>-0.11160843443163224</v>
      </c>
    </row>
    <row r="62" spans="1:23" x14ac:dyDescent="0.35">
      <c r="A62" t="s">
        <v>73</v>
      </c>
      <c r="B62">
        <v>15.533417402269899</v>
      </c>
      <c r="C62">
        <v>3.0365699873896599</v>
      </c>
      <c r="D62">
        <v>5.1437578814628004</v>
      </c>
      <c r="E62">
        <v>2.3783102143757899</v>
      </c>
      <c r="F62">
        <v>0.29634300126103402</v>
      </c>
      <c r="G62">
        <v>0.97099621689785598</v>
      </c>
      <c r="H62">
        <v>794</v>
      </c>
      <c r="I62">
        <v>19.301261034047901</v>
      </c>
      <c r="J62">
        <v>31377750</v>
      </c>
      <c r="K62">
        <v>10459250</v>
      </c>
      <c r="L62">
        <v>17809254.826200899</v>
      </c>
      <c r="M62">
        <v>-7350004.8262008801</v>
      </c>
      <c r="P62">
        <f t="shared" si="0"/>
        <v>13.4152365187479</v>
      </c>
      <c r="Q62">
        <f t="shared" si="1"/>
        <v>5.8860245153000008</v>
      </c>
      <c r="T62" s="2">
        <v>37</v>
      </c>
      <c r="U62" s="2">
        <v>18916226.828864358</v>
      </c>
      <c r="V62" s="2">
        <v>15240151.50446894</v>
      </c>
      <c r="W62" s="2">
        <v>2.0747456779558284</v>
      </c>
    </row>
    <row r="63" spans="1:23" x14ac:dyDescent="0.35">
      <c r="A63" t="s">
        <v>74</v>
      </c>
      <c r="B63">
        <v>2.3193277310924398</v>
      </c>
      <c r="C63">
        <v>1.05042016806723</v>
      </c>
      <c r="D63">
        <v>0.41176470588235298</v>
      </c>
      <c r="E63">
        <v>0.26050420168067201</v>
      </c>
      <c r="F63">
        <v>0.15546218487395</v>
      </c>
      <c r="G63">
        <v>0.222689075630252</v>
      </c>
      <c r="H63">
        <v>238</v>
      </c>
      <c r="I63">
        <v>3.23949579831933</v>
      </c>
      <c r="J63">
        <v>799403</v>
      </c>
      <c r="K63">
        <v>955329.33333333302</v>
      </c>
      <c r="L63">
        <v>-2909768.8325573402</v>
      </c>
      <c r="M63">
        <v>3865098.1658906802</v>
      </c>
      <c r="P63">
        <f t="shared" si="0"/>
        <v>9.010259849335883</v>
      </c>
      <c r="Q63">
        <f t="shared" si="1"/>
        <v>-5.7707640510165525</v>
      </c>
      <c r="T63" s="2">
        <v>38</v>
      </c>
      <c r="U63" s="2">
        <v>25889523.604094401</v>
      </c>
      <c r="V63" s="2">
        <v>-14039867.270761101</v>
      </c>
      <c r="W63" s="2">
        <v>-1.911342805912619</v>
      </c>
    </row>
    <row r="64" spans="1:23" x14ac:dyDescent="0.35">
      <c r="A64" t="s">
        <v>75</v>
      </c>
      <c r="B64">
        <v>5.2096774193548399</v>
      </c>
      <c r="C64">
        <v>1.73870967741935</v>
      </c>
      <c r="D64">
        <v>1.5096774193548399</v>
      </c>
      <c r="E64">
        <v>0.84193548387096795</v>
      </c>
      <c r="F64">
        <v>0.27741935483871</v>
      </c>
      <c r="G64">
        <v>0.41935483870967699</v>
      </c>
      <c r="H64">
        <v>310</v>
      </c>
      <c r="I64">
        <v>7.0837096774193604</v>
      </c>
      <c r="J64">
        <v>1563518</v>
      </c>
      <c r="K64">
        <v>521172.66666666698</v>
      </c>
      <c r="L64">
        <v>2049110.6642757</v>
      </c>
      <c r="M64">
        <v>-1527937.99760903</v>
      </c>
      <c r="P64">
        <f t="shared" si="0"/>
        <v>8.8090323712652872</v>
      </c>
      <c r="Q64">
        <f t="shared" si="1"/>
        <v>-1.7253226938459267</v>
      </c>
      <c r="T64" s="2">
        <v>39</v>
      </c>
      <c r="U64" s="2">
        <v>-2736861.5386929708</v>
      </c>
      <c r="V64" s="2">
        <v>4743427.872026301</v>
      </c>
      <c r="W64" s="2">
        <v>0.64575516019613977</v>
      </c>
    </row>
    <row r="65" spans="1:23" x14ac:dyDescent="0.35">
      <c r="A65" t="s">
        <v>76</v>
      </c>
      <c r="B65">
        <v>2.68686868686869</v>
      </c>
      <c r="C65">
        <v>1.3670033670033701</v>
      </c>
      <c r="D65">
        <v>0.98989898989898994</v>
      </c>
      <c r="E65">
        <v>0.45791245791245799</v>
      </c>
      <c r="F65">
        <v>0.20202020202020199</v>
      </c>
      <c r="G65">
        <v>0.40404040404040398</v>
      </c>
      <c r="H65">
        <v>297</v>
      </c>
      <c r="I65">
        <v>4.47575757575758</v>
      </c>
      <c r="J65">
        <v>3191400</v>
      </c>
      <c r="K65">
        <v>3350880</v>
      </c>
      <c r="L65">
        <v>-1315041.43869753</v>
      </c>
      <c r="M65">
        <v>4665921.43869753</v>
      </c>
      <c r="P65">
        <f t="shared" si="0"/>
        <v>10.120574756958332</v>
      </c>
      <c r="Q65">
        <f t="shared" si="1"/>
        <v>-5.6448171812007519</v>
      </c>
      <c r="T65" s="2">
        <v>40</v>
      </c>
      <c r="U65" s="2">
        <v>5328603.1535961777</v>
      </c>
      <c r="V65" s="2">
        <v>1474346.8464038223</v>
      </c>
      <c r="W65" s="2">
        <v>0.20071288310271471</v>
      </c>
    </row>
    <row r="66" spans="1:23" x14ac:dyDescent="0.35">
      <c r="A66" t="s">
        <v>77</v>
      </c>
      <c r="B66">
        <v>23.168807339449501</v>
      </c>
      <c r="C66">
        <v>3.9422018348623902</v>
      </c>
      <c r="D66">
        <v>6.1596330275229398</v>
      </c>
      <c r="E66">
        <v>2.6559633027522902</v>
      </c>
      <c r="F66">
        <v>0.27431192660550502</v>
      </c>
      <c r="G66">
        <v>0.92293577981651398</v>
      </c>
      <c r="H66">
        <v>1093</v>
      </c>
      <c r="I66">
        <v>26.559266055045899</v>
      </c>
      <c r="J66">
        <v>42492492</v>
      </c>
      <c r="K66">
        <v>45640084</v>
      </c>
      <c r="L66">
        <v>27171786.0012259</v>
      </c>
      <c r="M66">
        <v>18468297.9987741</v>
      </c>
      <c r="P66">
        <f t="shared" si="0"/>
        <v>29.721217851692924</v>
      </c>
      <c r="Q66">
        <f t="shared" si="1"/>
        <v>-3.1619517966470241</v>
      </c>
      <c r="T66" s="2">
        <v>41</v>
      </c>
      <c r="U66" s="2">
        <v>8310538.9614785705</v>
      </c>
      <c r="V66" s="2">
        <v>-5504015.9614785705</v>
      </c>
      <c r="W66" s="2">
        <v>-0.74929919982284854</v>
      </c>
    </row>
    <row r="67" spans="1:23" x14ac:dyDescent="0.35">
      <c r="A67" t="s">
        <v>78</v>
      </c>
      <c r="B67">
        <v>5.6730360934182604</v>
      </c>
      <c r="C67">
        <v>2.3375796178343999</v>
      </c>
      <c r="D67">
        <v>0.95753715498938397</v>
      </c>
      <c r="E67">
        <v>0.579617834394904</v>
      </c>
      <c r="F67">
        <v>5.9447983014862003E-2</v>
      </c>
      <c r="G67">
        <v>0.452229299363057</v>
      </c>
      <c r="H67">
        <v>471</v>
      </c>
      <c r="I67">
        <v>7.3042462845010601</v>
      </c>
      <c r="J67">
        <v>2133278</v>
      </c>
      <c r="K67">
        <v>711092.66666666698</v>
      </c>
      <c r="L67">
        <v>2333593.9145714999</v>
      </c>
      <c r="M67">
        <v>-1622501.2479048299</v>
      </c>
      <c r="P67">
        <f t="shared" ref="P67:P130" si="2">INTERCEPT($I$2:$I$331, $K$2:$K$331) + SLOPE($I$2:$I$331, $K$2:$K$331) * K67</f>
        <v>8.8970584815829934</v>
      </c>
      <c r="Q67">
        <f t="shared" ref="Q67:Q130" si="3">I67 - P67</f>
        <v>-1.5928121970819333</v>
      </c>
      <c r="T67" s="2">
        <v>42</v>
      </c>
      <c r="U67" s="2">
        <v>10603532.373814618</v>
      </c>
      <c r="V67" s="2">
        <v>-5954055.040481288</v>
      </c>
      <c r="W67" s="2">
        <v>-0.81056608642816286</v>
      </c>
    </row>
    <row r="68" spans="1:23" x14ac:dyDescent="0.35">
      <c r="A68" t="s">
        <v>79</v>
      </c>
      <c r="B68">
        <v>8.4150197628458496</v>
      </c>
      <c r="C68">
        <v>5.2490118577075098</v>
      </c>
      <c r="D68">
        <v>0.92687747035573098</v>
      </c>
      <c r="E68">
        <v>0.90513833992094905</v>
      </c>
      <c r="F68">
        <v>1.4308300395256901</v>
      </c>
      <c r="G68">
        <v>0.47826086956521702</v>
      </c>
      <c r="H68">
        <v>506</v>
      </c>
      <c r="I68">
        <v>12.8938735177866</v>
      </c>
      <c r="J68">
        <v>1930681</v>
      </c>
      <c r="K68">
        <v>9242280.3333333302</v>
      </c>
      <c r="L68">
        <v>9543985.6237258799</v>
      </c>
      <c r="M68">
        <v>-301705.290392544</v>
      </c>
      <c r="P68">
        <f t="shared" si="2"/>
        <v>12.85118267433287</v>
      </c>
      <c r="Q68">
        <f t="shared" si="3"/>
        <v>4.2690843453730309E-2</v>
      </c>
      <c r="T68" s="2">
        <v>43</v>
      </c>
      <c r="U68" s="2">
        <v>4621277.1597543824</v>
      </c>
      <c r="V68" s="2">
        <v>-454610.49308771268</v>
      </c>
      <c r="W68" s="2">
        <v>-6.1889224356498074E-2</v>
      </c>
    </row>
    <row r="69" spans="1:23" x14ac:dyDescent="0.35">
      <c r="A69" t="s">
        <v>80</v>
      </c>
      <c r="B69">
        <v>7.5927419354838701</v>
      </c>
      <c r="C69">
        <v>3.8723118279569899</v>
      </c>
      <c r="D69">
        <v>1.37903225806452</v>
      </c>
      <c r="E69">
        <v>1.0591397849462401</v>
      </c>
      <c r="F69">
        <v>0.143817204301075</v>
      </c>
      <c r="G69">
        <v>0.418010752688172</v>
      </c>
      <c r="H69">
        <v>746</v>
      </c>
      <c r="I69">
        <v>10.2036962365591</v>
      </c>
      <c r="J69">
        <v>9240000</v>
      </c>
      <c r="K69">
        <v>3080000</v>
      </c>
      <c r="L69">
        <v>6073766.3845591499</v>
      </c>
      <c r="M69">
        <v>-2993766.3845591499</v>
      </c>
      <c r="P69">
        <f t="shared" si="2"/>
        <v>9.9950244580805911</v>
      </c>
      <c r="Q69">
        <f t="shared" si="3"/>
        <v>0.20867177847850904</v>
      </c>
      <c r="T69" s="2">
        <v>44</v>
      </c>
      <c r="U69" s="2">
        <v>14234782.164964063</v>
      </c>
      <c r="V69" s="2">
        <v>-7969350.1649640631</v>
      </c>
      <c r="W69" s="2">
        <v>-1.0849219449050298</v>
      </c>
    </row>
    <row r="70" spans="1:23" x14ac:dyDescent="0.35">
      <c r="A70" t="s">
        <v>81</v>
      </c>
      <c r="B70">
        <v>17.573839662447298</v>
      </c>
      <c r="C70">
        <v>2.4746835443038</v>
      </c>
      <c r="D70">
        <v>6.2067510548523197</v>
      </c>
      <c r="E70">
        <v>2.7869198312236301</v>
      </c>
      <c r="F70">
        <v>0.109704641350211</v>
      </c>
      <c r="G70">
        <v>1.09493670886076</v>
      </c>
      <c r="H70">
        <v>474</v>
      </c>
      <c r="I70">
        <v>21.178059071730001</v>
      </c>
      <c r="J70">
        <v>8920794</v>
      </c>
      <c r="K70">
        <v>26200264.666666701</v>
      </c>
      <c r="L70">
        <v>20230247.934663601</v>
      </c>
      <c r="M70">
        <v>5970016.7320030602</v>
      </c>
      <c r="P70">
        <f t="shared" si="2"/>
        <v>20.71104682603854</v>
      </c>
      <c r="Q70">
        <f t="shared" si="3"/>
        <v>0.46701224569146049</v>
      </c>
      <c r="T70" s="2">
        <v>45</v>
      </c>
      <c r="U70" s="2">
        <v>-388248.61440507974</v>
      </c>
      <c r="V70" s="2">
        <v>2979829.2810717495</v>
      </c>
      <c r="W70" s="2">
        <v>0.40566446600855283</v>
      </c>
    </row>
    <row r="71" spans="1:23" x14ac:dyDescent="0.35">
      <c r="A71" t="s">
        <v>82</v>
      </c>
      <c r="B71">
        <v>4.8906882591093099</v>
      </c>
      <c r="C71">
        <v>2.2995951417003999</v>
      </c>
      <c r="D71">
        <v>0.80161943319838103</v>
      </c>
      <c r="E71">
        <v>0.65991902834008098</v>
      </c>
      <c r="F71">
        <v>0.18218623481781401</v>
      </c>
      <c r="G71">
        <v>0.32793522267206499</v>
      </c>
      <c r="H71">
        <v>247</v>
      </c>
      <c r="I71">
        <v>6.4894736842105303</v>
      </c>
      <c r="J71">
        <v>2588640</v>
      </c>
      <c r="K71">
        <v>2718040</v>
      </c>
      <c r="L71">
        <v>1282570.41035691</v>
      </c>
      <c r="M71">
        <v>1435469.58964309</v>
      </c>
      <c r="P71">
        <f t="shared" si="2"/>
        <v>9.8272594470728141</v>
      </c>
      <c r="Q71">
        <f t="shared" si="3"/>
        <v>-3.3377857628622838</v>
      </c>
      <c r="T71" s="2">
        <v>46</v>
      </c>
      <c r="U71" s="2">
        <v>20790245.361173131</v>
      </c>
      <c r="V71" s="2">
        <v>-10404285.361173131</v>
      </c>
      <c r="W71" s="2">
        <v>-1.4164062659733543</v>
      </c>
    </row>
    <row r="72" spans="1:23" x14ac:dyDescent="0.35">
      <c r="A72" t="s">
        <v>83</v>
      </c>
      <c r="B72">
        <v>7.29802955665025</v>
      </c>
      <c r="C72">
        <v>1.73399014778325</v>
      </c>
      <c r="D72">
        <v>3.5320197044335</v>
      </c>
      <c r="E72">
        <v>1.13793103448276</v>
      </c>
      <c r="F72">
        <v>0.17487684729063999</v>
      </c>
      <c r="G72">
        <v>0.65024630541871897</v>
      </c>
      <c r="H72">
        <v>406</v>
      </c>
      <c r="I72">
        <v>10.6488916256158</v>
      </c>
      <c r="J72">
        <v>4833600</v>
      </c>
      <c r="K72">
        <v>5449439</v>
      </c>
      <c r="L72">
        <v>6648050.3230465399</v>
      </c>
      <c r="M72">
        <v>-1198611.3230465399</v>
      </c>
      <c r="P72">
        <f t="shared" si="2"/>
        <v>11.093236857012121</v>
      </c>
      <c r="Q72">
        <f t="shared" si="3"/>
        <v>-0.44434523139632098</v>
      </c>
      <c r="T72" s="2">
        <v>47</v>
      </c>
      <c r="U72" s="2">
        <v>4732690.6113760546</v>
      </c>
      <c r="V72" s="2">
        <v>7017309.3886239454</v>
      </c>
      <c r="W72" s="2">
        <v>0.95531414636246537</v>
      </c>
    </row>
    <row r="73" spans="1:23" x14ac:dyDescent="0.35">
      <c r="A73" t="s">
        <v>84</v>
      </c>
      <c r="B73">
        <v>5.4099378881987601</v>
      </c>
      <c r="C73">
        <v>4.5993788819875796</v>
      </c>
      <c r="D73">
        <v>1.10248447204969</v>
      </c>
      <c r="E73">
        <v>0.92236024844720499</v>
      </c>
      <c r="F73">
        <v>0.50621118012422395</v>
      </c>
      <c r="G73">
        <v>0.48757763975155299</v>
      </c>
      <c r="H73">
        <v>322</v>
      </c>
      <c r="I73">
        <v>9.3720496894409902</v>
      </c>
      <c r="J73">
        <v>2109480</v>
      </c>
      <c r="K73">
        <v>2769547.3333333302</v>
      </c>
      <c r="L73">
        <v>5000976.1754770102</v>
      </c>
      <c r="M73">
        <v>-2231428.8421436702</v>
      </c>
      <c r="P73">
        <f t="shared" si="2"/>
        <v>9.8511326052771668</v>
      </c>
      <c r="Q73">
        <f t="shared" si="3"/>
        <v>-0.47908291583617668</v>
      </c>
      <c r="T73" s="2">
        <v>48</v>
      </c>
      <c r="U73" s="2">
        <v>24041110.159239113</v>
      </c>
      <c r="V73" s="2">
        <v>5958889.8407608867</v>
      </c>
      <c r="W73" s="2">
        <v>0.81122428073685693</v>
      </c>
    </row>
    <row r="74" spans="1:23" x14ac:dyDescent="0.35">
      <c r="A74" t="s">
        <v>85</v>
      </c>
      <c r="B74">
        <v>20.560509554140101</v>
      </c>
      <c r="C74">
        <v>3.8168789808917198</v>
      </c>
      <c r="D74">
        <v>5.9490445859872603</v>
      </c>
      <c r="E74">
        <v>2.63216560509554</v>
      </c>
      <c r="F74">
        <v>0.388535031847134</v>
      </c>
      <c r="G74">
        <v>1.3805732484076401</v>
      </c>
      <c r="H74">
        <v>630</v>
      </c>
      <c r="I74">
        <v>24.875955414012701</v>
      </c>
      <c r="J74">
        <v>30351780</v>
      </c>
      <c r="K74">
        <v>32600060</v>
      </c>
      <c r="L74">
        <v>25000383.762135599</v>
      </c>
      <c r="M74">
        <v>7599676.2378644301</v>
      </c>
      <c r="P74">
        <f t="shared" si="2"/>
        <v>23.677290981592144</v>
      </c>
      <c r="Q74">
        <f t="shared" si="3"/>
        <v>1.1986644324205571</v>
      </c>
      <c r="T74" s="2">
        <v>49</v>
      </c>
      <c r="U74" s="2">
        <v>7709583.0213798024</v>
      </c>
      <c r="V74" s="2">
        <v>-4760463.0213798024</v>
      </c>
      <c r="W74" s="2">
        <v>-0.64807427116325478</v>
      </c>
    </row>
    <row r="75" spans="1:23" x14ac:dyDescent="0.35">
      <c r="A75" t="s">
        <v>86</v>
      </c>
      <c r="B75">
        <v>13.863636363636401</v>
      </c>
      <c r="C75">
        <v>3.87954545454545</v>
      </c>
      <c r="D75">
        <v>1.48409090909091</v>
      </c>
      <c r="E75">
        <v>1.33181818181818</v>
      </c>
      <c r="F75">
        <v>0.263636363636364</v>
      </c>
      <c r="G75">
        <v>0.63409090909090904</v>
      </c>
      <c r="H75">
        <v>440</v>
      </c>
      <c r="I75">
        <v>15.2172727272727</v>
      </c>
      <c r="J75">
        <v>9835881</v>
      </c>
      <c r="K75">
        <v>17207198.666666701</v>
      </c>
      <c r="L75">
        <v>12541076.073224099</v>
      </c>
      <c r="M75">
        <v>4666122.5934426105</v>
      </c>
      <c r="P75">
        <f t="shared" si="2"/>
        <v>16.542846426868287</v>
      </c>
      <c r="Q75">
        <f t="shared" si="3"/>
        <v>-1.3255736995955871</v>
      </c>
      <c r="T75" s="2">
        <v>50</v>
      </c>
      <c r="U75" s="2">
        <v>-1172379.6962666521</v>
      </c>
      <c r="V75" s="2">
        <v>2918900.6962666521</v>
      </c>
      <c r="W75" s="2">
        <v>0.39736984256263286</v>
      </c>
    </row>
    <row r="76" spans="1:23" x14ac:dyDescent="0.35">
      <c r="A76" t="s">
        <v>87</v>
      </c>
      <c r="B76">
        <v>8.2344398340249008</v>
      </c>
      <c r="C76">
        <v>3.26141078838174</v>
      </c>
      <c r="D76">
        <v>2.3941908713692901</v>
      </c>
      <c r="E76">
        <v>1.22821576763485</v>
      </c>
      <c r="F76">
        <v>0.44605809128630702</v>
      </c>
      <c r="G76">
        <v>1.2468879668049799</v>
      </c>
      <c r="H76">
        <v>484</v>
      </c>
      <c r="I76">
        <v>12.257987551867201</v>
      </c>
      <c r="J76">
        <v>8250000</v>
      </c>
      <c r="K76">
        <v>5416666.6666666698</v>
      </c>
      <c r="L76">
        <v>8723718.5995977893</v>
      </c>
      <c r="M76">
        <v>-3307051.93293112</v>
      </c>
      <c r="P76">
        <f t="shared" si="2"/>
        <v>11.078047192788404</v>
      </c>
      <c r="Q76">
        <f t="shared" si="3"/>
        <v>1.1799403590787971</v>
      </c>
      <c r="T76" s="2">
        <v>51</v>
      </c>
      <c r="U76" s="2">
        <v>2115411.4545734525</v>
      </c>
      <c r="V76" s="2">
        <v>3251176.2120932173</v>
      </c>
      <c r="W76" s="2">
        <v>0.44260477281575777</v>
      </c>
    </row>
    <row r="77" spans="1:23" x14ac:dyDescent="0.35">
      <c r="A77" t="s">
        <v>88</v>
      </c>
      <c r="B77">
        <v>6.7658227848101298</v>
      </c>
      <c r="C77">
        <v>7.6164556962025296</v>
      </c>
      <c r="D77">
        <v>0.743670886075949</v>
      </c>
      <c r="E77">
        <v>1.0424050632911399</v>
      </c>
      <c r="F77">
        <v>1.1278481012658199</v>
      </c>
      <c r="G77">
        <v>0.42025316455696199</v>
      </c>
      <c r="H77">
        <v>1581</v>
      </c>
      <c r="I77">
        <v>12.9381012658228</v>
      </c>
      <c r="J77">
        <v>10733758</v>
      </c>
      <c r="K77">
        <v>3577919.3333333302</v>
      </c>
      <c r="L77">
        <v>9601037.6192249693</v>
      </c>
      <c r="M77">
        <v>-6023118.2858916298</v>
      </c>
      <c r="P77">
        <f t="shared" si="2"/>
        <v>10.225805324578689</v>
      </c>
      <c r="Q77">
        <f t="shared" si="3"/>
        <v>2.7122959412441112</v>
      </c>
      <c r="T77" s="2">
        <v>52</v>
      </c>
      <c r="U77" s="2">
        <v>15458802.586979697</v>
      </c>
      <c r="V77" s="2">
        <v>4903922.746353602</v>
      </c>
      <c r="W77" s="2">
        <v>0.66760442112684559</v>
      </c>
    </row>
    <row r="78" spans="1:23" x14ac:dyDescent="0.35">
      <c r="A78" t="s">
        <v>89</v>
      </c>
      <c r="B78">
        <v>20.393234672304398</v>
      </c>
      <c r="C78">
        <v>4.1853417899929504</v>
      </c>
      <c r="D78">
        <v>3.89006342494715</v>
      </c>
      <c r="E78">
        <v>1.92600422832981</v>
      </c>
      <c r="F78">
        <v>0.31078224101479901</v>
      </c>
      <c r="G78">
        <v>0.98026779422128296</v>
      </c>
      <c r="H78">
        <v>1422</v>
      </c>
      <c r="I78">
        <v>22.861310782240999</v>
      </c>
      <c r="J78">
        <v>27300000</v>
      </c>
      <c r="K78">
        <v>18633333.333333299</v>
      </c>
      <c r="L78">
        <v>22401574.155778199</v>
      </c>
      <c r="M78">
        <v>-3768240.8224448501</v>
      </c>
      <c r="P78">
        <f t="shared" si="2"/>
        <v>17.203846255722009</v>
      </c>
      <c r="Q78">
        <f t="shared" si="3"/>
        <v>5.6574645265189893</v>
      </c>
      <c r="T78" s="2">
        <v>53</v>
      </c>
      <c r="U78" s="2">
        <v>15859361.998031052</v>
      </c>
      <c r="V78" s="2">
        <v>-10074005.998031052</v>
      </c>
      <c r="W78" s="2">
        <v>-1.3714430855879038</v>
      </c>
    </row>
    <row r="79" spans="1:23" x14ac:dyDescent="0.35">
      <c r="A79" t="s">
        <v>90</v>
      </c>
      <c r="B79">
        <v>4.6225961538461497</v>
      </c>
      <c r="C79">
        <v>3.1514423076923102</v>
      </c>
      <c r="D79">
        <v>0.93509615384615397</v>
      </c>
      <c r="E79">
        <v>0.331730769230769</v>
      </c>
      <c r="F79">
        <v>0.30288461538461497</v>
      </c>
      <c r="G79">
        <v>0.55048076923076905</v>
      </c>
      <c r="H79">
        <v>416</v>
      </c>
      <c r="I79">
        <v>7.6106971153846201</v>
      </c>
      <c r="J79">
        <v>1930681</v>
      </c>
      <c r="K79">
        <v>4602408.3333333302</v>
      </c>
      <c r="L79">
        <v>2728903.0180315999</v>
      </c>
      <c r="M79">
        <v>1873505.3153017401</v>
      </c>
      <c r="P79">
        <f t="shared" si="2"/>
        <v>10.700646214075723</v>
      </c>
      <c r="Q79">
        <f t="shared" si="3"/>
        <v>-3.0899490986911031</v>
      </c>
      <c r="T79" s="2">
        <v>54</v>
      </c>
      <c r="U79" s="2">
        <v>4385438.5814663414</v>
      </c>
      <c r="V79" s="2">
        <v>3174561.4185336586</v>
      </c>
      <c r="W79" s="2">
        <v>0.43217467887879391</v>
      </c>
    </row>
    <row r="80" spans="1:23" x14ac:dyDescent="0.35">
      <c r="A80" t="s">
        <v>91</v>
      </c>
      <c r="B80">
        <v>13.8739352640545</v>
      </c>
      <c r="C80">
        <v>8.9063032367972692</v>
      </c>
      <c r="D80">
        <v>1.3356047700170399</v>
      </c>
      <c r="E80">
        <v>1.4718909710391801</v>
      </c>
      <c r="F80">
        <v>0.82623509369676296</v>
      </c>
      <c r="G80">
        <v>0.63884156729131203</v>
      </c>
      <c r="H80">
        <v>589</v>
      </c>
      <c r="I80">
        <v>19.595229982964199</v>
      </c>
      <c r="J80">
        <v>30913750</v>
      </c>
      <c r="K80">
        <v>32459438</v>
      </c>
      <c r="L80">
        <v>18188462.809765998</v>
      </c>
      <c r="M80">
        <v>14270975.190234</v>
      </c>
      <c r="P80">
        <f t="shared" si="2"/>
        <v>23.612114024530769</v>
      </c>
      <c r="Q80">
        <f t="shared" si="3"/>
        <v>-4.0168840415665699</v>
      </c>
      <c r="T80" s="2">
        <v>55</v>
      </c>
      <c r="U80" s="2">
        <v>11445540.253977953</v>
      </c>
      <c r="V80" s="2">
        <v>-5812856.5873112828</v>
      </c>
      <c r="W80" s="2">
        <v>-0.79134377880460594</v>
      </c>
    </row>
    <row r="81" spans="1:23" x14ac:dyDescent="0.35">
      <c r="A81" t="s">
        <v>92</v>
      </c>
      <c r="B81">
        <v>14.1235392320534</v>
      </c>
      <c r="C81">
        <v>5.3288814691151902</v>
      </c>
      <c r="D81">
        <v>4.91819699499165</v>
      </c>
      <c r="E81">
        <v>1.9465776293823001</v>
      </c>
      <c r="F81">
        <v>0.26544240400667801</v>
      </c>
      <c r="G81">
        <v>1.3539232053422401</v>
      </c>
      <c r="H81">
        <v>602</v>
      </c>
      <c r="I81">
        <v>20.420033388981601</v>
      </c>
      <c r="J81">
        <v>17071120</v>
      </c>
      <c r="K81">
        <v>11761706.6666667</v>
      </c>
      <c r="L81">
        <v>19252425.645250998</v>
      </c>
      <c r="M81">
        <v>-7490718.9785842802</v>
      </c>
      <c r="P81">
        <f t="shared" si="2"/>
        <v>14.018912773086754</v>
      </c>
      <c r="Q81">
        <f t="shared" si="3"/>
        <v>6.4011206158948468</v>
      </c>
      <c r="T81" s="2">
        <v>56</v>
      </c>
      <c r="U81" s="2">
        <v>5222123.1823574565</v>
      </c>
      <c r="V81" s="2">
        <v>-4465242.1823574565</v>
      </c>
      <c r="W81" s="2">
        <v>-0.60788384657170813</v>
      </c>
    </row>
    <row r="82" spans="1:23" x14ac:dyDescent="0.35">
      <c r="A82" t="s">
        <v>93</v>
      </c>
      <c r="B82">
        <v>5.2131979695431498</v>
      </c>
      <c r="C82">
        <v>2.3375634517766501</v>
      </c>
      <c r="D82">
        <v>2.2931472081218298</v>
      </c>
      <c r="E82">
        <v>0.70431472081218305</v>
      </c>
      <c r="F82">
        <v>0.275380710659898</v>
      </c>
      <c r="G82">
        <v>0.91624365482233505</v>
      </c>
      <c r="H82">
        <v>790</v>
      </c>
      <c r="I82">
        <v>8.9125634517766503</v>
      </c>
      <c r="J82">
        <v>7804878</v>
      </c>
      <c r="K82">
        <v>5333333.3333333302</v>
      </c>
      <c r="L82">
        <v>4408257.6237287596</v>
      </c>
      <c r="M82">
        <v>925075.70960457204</v>
      </c>
      <c r="P82">
        <f t="shared" si="2"/>
        <v>11.039422986843045</v>
      </c>
      <c r="Q82">
        <f t="shared" si="3"/>
        <v>-2.1268595350663944</v>
      </c>
      <c r="T82" s="2">
        <v>57</v>
      </c>
      <c r="U82" s="2">
        <v>16367651.430679264</v>
      </c>
      <c r="V82" s="2">
        <v>1024015.2359874379</v>
      </c>
      <c r="W82" s="2">
        <v>0.13940617220260945</v>
      </c>
    </row>
    <row r="83" spans="1:23" x14ac:dyDescent="0.35">
      <c r="A83" t="s">
        <v>94</v>
      </c>
      <c r="B83">
        <v>12.0409090909091</v>
      </c>
      <c r="C83">
        <v>5.9840909090909102</v>
      </c>
      <c r="D83">
        <v>3.03863636363636</v>
      </c>
      <c r="E83">
        <v>1.8068181818181801</v>
      </c>
      <c r="F83">
        <v>0.42954545454545501</v>
      </c>
      <c r="G83">
        <v>0.75</v>
      </c>
      <c r="H83">
        <v>440</v>
      </c>
      <c r="I83">
        <v>17.132727272727301</v>
      </c>
      <c r="J83">
        <v>4916160</v>
      </c>
      <c r="K83">
        <v>6555322.3333333302</v>
      </c>
      <c r="L83">
        <v>15011934.5039194</v>
      </c>
      <c r="M83">
        <v>-8456612.1705860309</v>
      </c>
      <c r="P83">
        <f t="shared" si="2"/>
        <v>11.605803244430575</v>
      </c>
      <c r="Q83">
        <f t="shared" si="3"/>
        <v>5.526924028296726</v>
      </c>
      <c r="T83" s="2">
        <v>58</v>
      </c>
      <c r="U83" s="2">
        <v>7838132.5382631365</v>
      </c>
      <c r="V83" s="2">
        <v>-3511210.2049298063</v>
      </c>
      <c r="W83" s="2">
        <v>-0.47800497225610511</v>
      </c>
    </row>
    <row r="84" spans="1:23" x14ac:dyDescent="0.35">
      <c r="A84" t="s">
        <v>95</v>
      </c>
      <c r="B84">
        <v>12.5691642651297</v>
      </c>
      <c r="C84">
        <v>3.50720461095101</v>
      </c>
      <c r="D84">
        <v>3.8760806916426498</v>
      </c>
      <c r="E84">
        <v>1.3342939481267999</v>
      </c>
      <c r="F84">
        <v>0.90778097982708905</v>
      </c>
      <c r="G84">
        <v>0.79827089337175805</v>
      </c>
      <c r="H84">
        <v>697</v>
      </c>
      <c r="I84">
        <v>17.1476224783862</v>
      </c>
      <c r="J84">
        <v>17142857</v>
      </c>
      <c r="K84">
        <v>18357143</v>
      </c>
      <c r="L84">
        <v>15031148.7131871</v>
      </c>
      <c r="M84">
        <v>3325994.2868128899</v>
      </c>
      <c r="P84">
        <f t="shared" si="2"/>
        <v>17.075834667944626</v>
      </c>
      <c r="Q84">
        <f t="shared" si="3"/>
        <v>7.1787810441573896E-2</v>
      </c>
      <c r="T84" s="2">
        <v>59</v>
      </c>
      <c r="U84" s="2">
        <v>4204547.064205803</v>
      </c>
      <c r="V84" s="2">
        <v>-2486047.064205803</v>
      </c>
      <c r="W84" s="2">
        <v>-0.33844252795933727</v>
      </c>
    </row>
    <row r="85" spans="1:23" x14ac:dyDescent="0.35">
      <c r="A85" t="s">
        <v>96</v>
      </c>
      <c r="B85">
        <v>17.431924882629101</v>
      </c>
      <c r="C85">
        <v>4.4131455399061004</v>
      </c>
      <c r="D85">
        <v>3.6267605633802802</v>
      </c>
      <c r="E85">
        <v>1.85446009389671</v>
      </c>
      <c r="F85">
        <v>0.39671361502347402</v>
      </c>
      <c r="G85">
        <v>0.94366197183098599</v>
      </c>
      <c r="H85">
        <v>426</v>
      </c>
      <c r="I85">
        <v>20.6443661971831</v>
      </c>
      <c r="J85">
        <v>2130240</v>
      </c>
      <c r="K85">
        <v>3914316</v>
      </c>
      <c r="L85">
        <v>19541805.8405375</v>
      </c>
      <c r="M85">
        <v>-15627489.8405375</v>
      </c>
      <c r="P85">
        <f t="shared" si="2"/>
        <v>10.38172197417067</v>
      </c>
      <c r="Q85">
        <f t="shared" si="3"/>
        <v>10.26264422301243</v>
      </c>
      <c r="T85" s="2">
        <v>60</v>
      </c>
      <c r="U85" s="2">
        <v>17809843.807867855</v>
      </c>
      <c r="V85" s="2">
        <v>-7350593.8078678548</v>
      </c>
      <c r="W85" s="2">
        <v>-1.000686425512942</v>
      </c>
    </row>
    <row r="86" spans="1:23" x14ac:dyDescent="0.35">
      <c r="A86" t="s">
        <v>97</v>
      </c>
      <c r="B86">
        <v>22.593240093240102</v>
      </c>
      <c r="C86">
        <v>3.7505827505827498</v>
      </c>
      <c r="D86">
        <v>4.8298368298368297</v>
      </c>
      <c r="E86">
        <v>2.8135198135198101</v>
      </c>
      <c r="F86">
        <v>0.261072261072261</v>
      </c>
      <c r="G86">
        <v>0.81235431235431199</v>
      </c>
      <c r="H86">
        <v>860</v>
      </c>
      <c r="I86">
        <v>24.441899766899802</v>
      </c>
      <c r="J86">
        <v>33833400</v>
      </c>
      <c r="K86">
        <v>39966533.333333299</v>
      </c>
      <c r="L86">
        <v>24440469.637519501</v>
      </c>
      <c r="M86">
        <v>15526063.695813799</v>
      </c>
      <c r="P86">
        <f t="shared" si="2"/>
        <v>27.091581179003896</v>
      </c>
      <c r="Q86">
        <f t="shared" si="3"/>
        <v>-2.6496814121040941</v>
      </c>
      <c r="T86" s="2">
        <v>61</v>
      </c>
      <c r="U86" s="2">
        <v>-2902747.8167865979</v>
      </c>
      <c r="V86" s="2">
        <v>3858077.150119931</v>
      </c>
      <c r="W86" s="2">
        <v>0.52522633322144219</v>
      </c>
    </row>
    <row r="87" spans="1:23" x14ac:dyDescent="0.35">
      <c r="A87" t="s">
        <v>98</v>
      </c>
      <c r="B87">
        <v>13.525198938992</v>
      </c>
      <c r="C87">
        <v>3.6312997347480098</v>
      </c>
      <c r="D87">
        <v>2.4297082228116702</v>
      </c>
      <c r="E87">
        <v>1.0265251989389901</v>
      </c>
      <c r="F87">
        <v>0.40848806366047702</v>
      </c>
      <c r="G87">
        <v>0.99734748010610097</v>
      </c>
      <c r="H87">
        <v>377</v>
      </c>
      <c r="I87">
        <v>16.3712201591512</v>
      </c>
      <c r="J87">
        <v>4437000</v>
      </c>
      <c r="K87">
        <v>6128477.6666666698</v>
      </c>
      <c r="L87">
        <v>14029621.310385801</v>
      </c>
      <c r="M87">
        <v>-7901143.6437191004</v>
      </c>
      <c r="P87">
        <f t="shared" si="2"/>
        <v>11.407964808686451</v>
      </c>
      <c r="Q87">
        <f t="shared" si="3"/>
        <v>4.963255350464749</v>
      </c>
      <c r="T87" s="2">
        <v>62</v>
      </c>
      <c r="U87" s="2">
        <v>2054592.2406131346</v>
      </c>
      <c r="V87" s="2">
        <v>-1533419.5739464676</v>
      </c>
      <c r="W87" s="2">
        <v>-0.20875485605280161</v>
      </c>
    </row>
    <row r="88" spans="1:23" x14ac:dyDescent="0.35">
      <c r="A88" t="s">
        <v>99</v>
      </c>
      <c r="B88">
        <v>14.164781906300499</v>
      </c>
      <c r="C88">
        <v>3.1373182552504</v>
      </c>
      <c r="D88">
        <v>1.9143780290791601</v>
      </c>
      <c r="E88">
        <v>1.4248788368336001</v>
      </c>
      <c r="F88">
        <v>0.23747980613893399</v>
      </c>
      <c r="G88">
        <v>0.88852988691437795</v>
      </c>
      <c r="H88">
        <v>622</v>
      </c>
      <c r="I88">
        <v>15.4613893376414</v>
      </c>
      <c r="J88">
        <v>11400000</v>
      </c>
      <c r="K88">
        <v>3800000</v>
      </c>
      <c r="L88">
        <v>12855976.568374701</v>
      </c>
      <c r="M88">
        <v>-9055976.5683746599</v>
      </c>
      <c r="P88">
        <f t="shared" si="2"/>
        <v>10.328737597448477</v>
      </c>
      <c r="Q88">
        <f t="shared" si="3"/>
        <v>5.132651740192923</v>
      </c>
      <c r="T88" s="2">
        <v>63</v>
      </c>
      <c r="U88" s="2">
        <v>-1308515.4916690392</v>
      </c>
      <c r="V88" s="2">
        <v>4659395.4916690392</v>
      </c>
      <c r="W88" s="2">
        <v>0.63431525962143454</v>
      </c>
    </row>
    <row r="89" spans="1:23" x14ac:dyDescent="0.35">
      <c r="A89" t="s">
        <v>100</v>
      </c>
      <c r="B89">
        <v>15.617687074829901</v>
      </c>
      <c r="C89">
        <v>10.364625850340101</v>
      </c>
      <c r="D89">
        <v>4.6993197278911598</v>
      </c>
      <c r="E89">
        <v>2.5238095238095202</v>
      </c>
      <c r="F89">
        <v>0.44353741496598598</v>
      </c>
      <c r="G89">
        <v>0.77142857142857102</v>
      </c>
      <c r="H89">
        <v>737</v>
      </c>
      <c r="I89">
        <v>24.6573469387755</v>
      </c>
      <c r="J89">
        <v>21100000</v>
      </c>
      <c r="K89">
        <v>14366666.6666667</v>
      </c>
      <c r="L89">
        <v>24718387.723470401</v>
      </c>
      <c r="M89">
        <v>-10351721.0568037</v>
      </c>
      <c r="P89">
        <f t="shared" si="2"/>
        <v>15.226286911319761</v>
      </c>
      <c r="Q89">
        <f t="shared" si="3"/>
        <v>9.4310600274557395</v>
      </c>
      <c r="T89" s="2">
        <v>64</v>
      </c>
      <c r="U89" s="2">
        <v>27169468.469497025</v>
      </c>
      <c r="V89" s="2">
        <v>18470615.530502975</v>
      </c>
      <c r="W89" s="2">
        <v>2.514530759740647</v>
      </c>
    </row>
    <row r="90" spans="1:23" x14ac:dyDescent="0.35">
      <c r="A90" t="s">
        <v>101</v>
      </c>
      <c r="B90">
        <v>4.2244897959183696</v>
      </c>
      <c r="C90">
        <v>2.8265306122449001</v>
      </c>
      <c r="D90">
        <v>0.70408163265306101</v>
      </c>
      <c r="E90">
        <v>0.32142857142857101</v>
      </c>
      <c r="F90">
        <v>0.397959183673469</v>
      </c>
      <c r="G90">
        <v>0.37755102040816302</v>
      </c>
      <c r="H90">
        <v>196</v>
      </c>
      <c r="I90">
        <v>6.7484693877551001</v>
      </c>
      <c r="J90">
        <v>508891</v>
      </c>
      <c r="K90">
        <v>756881</v>
      </c>
      <c r="L90">
        <v>1616664.3303278</v>
      </c>
      <c r="M90">
        <v>-859783.33032780106</v>
      </c>
      <c r="P90">
        <f t="shared" si="2"/>
        <v>8.9182809377817289</v>
      </c>
      <c r="Q90">
        <f t="shared" si="3"/>
        <v>-2.1698115500266288</v>
      </c>
      <c r="T90" s="2">
        <v>65</v>
      </c>
      <c r="U90" s="2">
        <v>2338987.1756486129</v>
      </c>
      <c r="V90" s="2">
        <v>-1627894.5089819459</v>
      </c>
      <c r="W90" s="2">
        <v>-0.22161637275639468</v>
      </c>
    </row>
    <row r="91" spans="1:23" x14ac:dyDescent="0.35">
      <c r="A91" t="s">
        <v>102</v>
      </c>
      <c r="B91">
        <v>24.434343434343401</v>
      </c>
      <c r="C91">
        <v>4.2582972582972598</v>
      </c>
      <c r="D91">
        <v>4.6435786435786399</v>
      </c>
      <c r="E91">
        <v>2.6738816738816702</v>
      </c>
      <c r="F91">
        <v>0.30880230880230902</v>
      </c>
      <c r="G91">
        <v>1.3463203463203499</v>
      </c>
      <c r="H91">
        <v>695</v>
      </c>
      <c r="I91">
        <v>26.694155844155802</v>
      </c>
      <c r="J91">
        <v>30913750</v>
      </c>
      <c r="K91">
        <v>33162030</v>
      </c>
      <c r="L91">
        <v>27345788.340998501</v>
      </c>
      <c r="M91">
        <v>5816241.6590014901</v>
      </c>
      <c r="P91">
        <f t="shared" si="2"/>
        <v>23.937758721773491</v>
      </c>
      <c r="Q91">
        <f t="shared" si="3"/>
        <v>2.7563971223823103</v>
      </c>
      <c r="T91" s="2">
        <v>66</v>
      </c>
      <c r="U91" s="2">
        <v>9547140.4837017953</v>
      </c>
      <c r="V91" s="2">
        <v>-304860.15036846511</v>
      </c>
      <c r="W91" s="2">
        <v>-4.1502689731953382E-2</v>
      </c>
    </row>
    <row r="92" spans="1:23" x14ac:dyDescent="0.35">
      <c r="A92" t="s">
        <v>103</v>
      </c>
      <c r="B92">
        <v>10.1824440619621</v>
      </c>
      <c r="C92">
        <v>3.9965576592082601</v>
      </c>
      <c r="D92">
        <v>2.8141135972461302</v>
      </c>
      <c r="E92">
        <v>1.3820998278829599</v>
      </c>
      <c r="F92">
        <v>0.28915662650602397</v>
      </c>
      <c r="G92">
        <v>1.1222030981067099</v>
      </c>
      <c r="H92">
        <v>583</v>
      </c>
      <c r="I92">
        <v>14.3685025817556</v>
      </c>
      <c r="J92">
        <v>4500000</v>
      </c>
      <c r="K92">
        <v>3075000</v>
      </c>
      <c r="L92">
        <v>11446197.118904701</v>
      </c>
      <c r="M92">
        <v>-8371197.1189047201</v>
      </c>
      <c r="P92">
        <f t="shared" si="2"/>
        <v>9.9927070057238705</v>
      </c>
      <c r="Q92">
        <f t="shared" si="3"/>
        <v>4.3757955760317291</v>
      </c>
      <c r="T92" s="2">
        <v>67</v>
      </c>
      <c r="U92" s="2">
        <v>6077998.5428122021</v>
      </c>
      <c r="V92" s="2">
        <v>-2997998.5428122021</v>
      </c>
      <c r="W92" s="2">
        <v>-0.40813797142328567</v>
      </c>
    </row>
    <row r="93" spans="1:23" x14ac:dyDescent="0.35">
      <c r="A93" t="s">
        <v>104</v>
      </c>
      <c r="B93">
        <v>7.7819971870604796</v>
      </c>
      <c r="C93">
        <v>4.2883263009845303</v>
      </c>
      <c r="D93">
        <v>1.3839662447257399</v>
      </c>
      <c r="E93">
        <v>0.84950773558368498</v>
      </c>
      <c r="F93">
        <v>0.41490857946554099</v>
      </c>
      <c r="G93">
        <v>0.76933895921237705</v>
      </c>
      <c r="H93">
        <v>712</v>
      </c>
      <c r="I93">
        <v>11.410618846694801</v>
      </c>
      <c r="J93">
        <v>12939848</v>
      </c>
      <c r="K93">
        <v>13932007.6666667</v>
      </c>
      <c r="L93">
        <v>7630647.4463035697</v>
      </c>
      <c r="M93">
        <v>6301360.2203631001</v>
      </c>
      <c r="P93">
        <f t="shared" si="2"/>
        <v>15.024826606535726</v>
      </c>
      <c r="Q93">
        <f t="shared" si="3"/>
        <v>-3.6142077598409248</v>
      </c>
      <c r="T93" s="2">
        <v>68</v>
      </c>
      <c r="U93" s="2">
        <v>20230085.340846457</v>
      </c>
      <c r="V93" s="2">
        <v>5970179.3258202448</v>
      </c>
      <c r="W93" s="2">
        <v>0.81276119526991664</v>
      </c>
    </row>
    <row r="94" spans="1:23" x14ac:dyDescent="0.35">
      <c r="A94" t="s">
        <v>105</v>
      </c>
      <c r="B94">
        <v>7.2106406080347396</v>
      </c>
      <c r="C94">
        <v>1.79478827361564</v>
      </c>
      <c r="D94">
        <v>0.80238870792616701</v>
      </c>
      <c r="E94">
        <v>0.54288816503800197</v>
      </c>
      <c r="F94">
        <v>8.0347448425624302E-2</v>
      </c>
      <c r="G94">
        <v>0.17698154180238901</v>
      </c>
      <c r="H94">
        <v>923</v>
      </c>
      <c r="I94">
        <v>7.6320846905537501</v>
      </c>
      <c r="J94">
        <v>13750000</v>
      </c>
      <c r="K94">
        <v>9166666.6666666698</v>
      </c>
      <c r="L94">
        <v>2756492.1198164299</v>
      </c>
      <c r="M94">
        <v>6410174.5468502296</v>
      </c>
      <c r="P94">
        <f t="shared" si="2"/>
        <v>12.816136460329471</v>
      </c>
      <c r="Q94">
        <f t="shared" si="3"/>
        <v>-5.1840517697757207</v>
      </c>
      <c r="T94" s="2">
        <v>69</v>
      </c>
      <c r="U94" s="2">
        <v>1288289.9522054726</v>
      </c>
      <c r="V94" s="2">
        <v>1429750.0477945274</v>
      </c>
      <c r="W94" s="2">
        <v>0.19464161700420057</v>
      </c>
    </row>
    <row r="95" spans="1:23" x14ac:dyDescent="0.35">
      <c r="A95" t="s">
        <v>106</v>
      </c>
      <c r="B95">
        <v>8.4375510204081596</v>
      </c>
      <c r="C95">
        <v>6.6089795918367296</v>
      </c>
      <c r="D95">
        <v>5.2187755102040798</v>
      </c>
      <c r="E95">
        <v>2.2212244897959201</v>
      </c>
      <c r="F95">
        <v>0.960816326530612</v>
      </c>
      <c r="G95">
        <v>1.2587755102040801</v>
      </c>
      <c r="H95">
        <v>1226</v>
      </c>
      <c r="I95">
        <v>17.943102040816299</v>
      </c>
      <c r="J95">
        <v>25806468</v>
      </c>
      <c r="K95">
        <v>17797564</v>
      </c>
      <c r="L95">
        <v>16057284.983526001</v>
      </c>
      <c r="M95">
        <v>1740279.01647402</v>
      </c>
      <c r="P95">
        <f t="shared" si="2"/>
        <v>16.81647513348026</v>
      </c>
      <c r="Q95">
        <f t="shared" si="3"/>
        <v>1.1266269073360391</v>
      </c>
      <c r="T95" s="2">
        <v>70</v>
      </c>
      <c r="U95" s="2">
        <v>6652104.2000284232</v>
      </c>
      <c r="V95" s="2">
        <v>-1202665.2000284232</v>
      </c>
      <c r="W95" s="2">
        <v>-0.16372700921346922</v>
      </c>
    </row>
    <row r="96" spans="1:23" x14ac:dyDescent="0.35">
      <c r="A96" t="s">
        <v>107</v>
      </c>
      <c r="B96">
        <v>4.6106032906764201</v>
      </c>
      <c r="C96">
        <v>3.5155393053016502</v>
      </c>
      <c r="D96">
        <v>0.76051188299817196</v>
      </c>
      <c r="E96">
        <v>0.69104204753199305</v>
      </c>
      <c r="F96">
        <v>0.64716636197440602</v>
      </c>
      <c r="G96">
        <v>0.29433272394881199</v>
      </c>
      <c r="H96">
        <v>550</v>
      </c>
      <c r="I96">
        <v>7.6268738574040196</v>
      </c>
      <c r="J96">
        <v>1968175</v>
      </c>
      <c r="K96">
        <v>656058.33333333302</v>
      </c>
      <c r="L96">
        <v>2749770.3570633102</v>
      </c>
      <c r="M96">
        <v>-2093712.02372997</v>
      </c>
      <c r="P96">
        <f t="shared" si="2"/>
        <v>8.8715505924862086</v>
      </c>
      <c r="Q96">
        <f t="shared" si="3"/>
        <v>-1.244676735082189</v>
      </c>
      <c r="T96" s="2">
        <v>71</v>
      </c>
      <c r="U96" s="2">
        <v>5005541.3717788476</v>
      </c>
      <c r="V96" s="2">
        <v>-2235994.0384455174</v>
      </c>
      <c r="W96" s="2">
        <v>-0.30440110558215155</v>
      </c>
    </row>
    <row r="97" spans="1:23" x14ac:dyDescent="0.35">
      <c r="A97" t="s">
        <v>108</v>
      </c>
      <c r="B97">
        <v>4.1125827814569504</v>
      </c>
      <c r="C97">
        <v>1.66225165562914</v>
      </c>
      <c r="D97">
        <v>1.6953642384106</v>
      </c>
      <c r="E97">
        <v>0.64900662251655605</v>
      </c>
      <c r="F97">
        <v>0.25165562913907302</v>
      </c>
      <c r="G97">
        <v>0.91390728476821204</v>
      </c>
      <c r="H97">
        <v>151</v>
      </c>
      <c r="I97">
        <v>6.95066225165563</v>
      </c>
      <c r="J97">
        <v>374357</v>
      </c>
      <c r="K97">
        <v>124785.66666666701</v>
      </c>
      <c r="L97">
        <v>1877484.89826067</v>
      </c>
      <c r="M97">
        <v>-1752699.231594</v>
      </c>
      <c r="P97">
        <f t="shared" si="2"/>
        <v>8.6253107738005408</v>
      </c>
      <c r="Q97">
        <f t="shared" si="3"/>
        <v>-1.6746485221449108</v>
      </c>
      <c r="T97" s="2">
        <v>72</v>
      </c>
      <c r="U97" s="2">
        <v>24998740.322655544</v>
      </c>
      <c r="V97" s="2">
        <v>7601319.6773444563</v>
      </c>
      <c r="W97" s="2">
        <v>1.0348194466903073</v>
      </c>
    </row>
    <row r="98" spans="1:23" x14ac:dyDescent="0.35">
      <c r="A98" t="s">
        <v>109</v>
      </c>
      <c r="B98">
        <v>9.9263322884012499</v>
      </c>
      <c r="C98">
        <v>2.31034482758621</v>
      </c>
      <c r="D98">
        <v>1.5971786833855799</v>
      </c>
      <c r="E98">
        <v>0.87304075235109702</v>
      </c>
      <c r="F98">
        <v>0.166144200626959</v>
      </c>
      <c r="G98">
        <v>0.47492163009404398</v>
      </c>
      <c r="H98">
        <v>641</v>
      </c>
      <c r="I98">
        <v>11.094749216300899</v>
      </c>
      <c r="J98">
        <v>16902000</v>
      </c>
      <c r="K98">
        <v>18154000</v>
      </c>
      <c r="L98">
        <v>7223188.4746921798</v>
      </c>
      <c r="M98">
        <v>10930811.525307801</v>
      </c>
      <c r="P98">
        <f t="shared" si="2"/>
        <v>16.981679823124331</v>
      </c>
      <c r="Q98">
        <f t="shared" si="3"/>
        <v>-5.8869306068234319</v>
      </c>
      <c r="T98" s="2">
        <v>73</v>
      </c>
      <c r="U98" s="2">
        <v>12543300.513489934</v>
      </c>
      <c r="V98" s="2">
        <v>4663898.1531767678</v>
      </c>
      <c r="W98" s="2">
        <v>0.63492823761576211</v>
      </c>
    </row>
    <row r="99" spans="1:23" x14ac:dyDescent="0.35">
      <c r="A99" t="s">
        <v>110</v>
      </c>
      <c r="B99">
        <v>5.5178571428571397</v>
      </c>
      <c r="C99">
        <v>3.5577731092436999</v>
      </c>
      <c r="D99">
        <v>0.875</v>
      </c>
      <c r="E99">
        <v>0.55567226890756305</v>
      </c>
      <c r="F99">
        <v>0.35924369747899199</v>
      </c>
      <c r="G99">
        <v>0.498949579831933</v>
      </c>
      <c r="H99">
        <v>953</v>
      </c>
      <c r="I99">
        <v>8.4399684873949603</v>
      </c>
      <c r="J99">
        <v>11080125</v>
      </c>
      <c r="K99">
        <v>3693375</v>
      </c>
      <c r="L99">
        <v>3798629.3478619801</v>
      </c>
      <c r="M99">
        <v>-105254.347861981</v>
      </c>
      <c r="P99">
        <f t="shared" si="2"/>
        <v>10.279317925941392</v>
      </c>
      <c r="Q99">
        <f t="shared" si="3"/>
        <v>-1.8393494385464315</v>
      </c>
      <c r="T99" s="2">
        <v>74</v>
      </c>
      <c r="U99" s="2">
        <v>8727128.1040761992</v>
      </c>
      <c r="V99" s="2">
        <v>-3310461.4374095295</v>
      </c>
      <c r="W99" s="2">
        <v>-0.45067567453583501</v>
      </c>
    </row>
    <row r="100" spans="1:23" x14ac:dyDescent="0.35">
      <c r="A100" t="s">
        <v>111</v>
      </c>
      <c r="B100">
        <v>8.3816254416961105</v>
      </c>
      <c r="C100">
        <v>4.5406360424028298</v>
      </c>
      <c r="D100">
        <v>3.5017667844522999</v>
      </c>
      <c r="E100">
        <v>1.3886925795053</v>
      </c>
      <c r="F100">
        <v>0.43462897526501798</v>
      </c>
      <c r="G100">
        <v>1.67491166077739</v>
      </c>
      <c r="H100">
        <v>283</v>
      </c>
      <c r="I100">
        <v>14.8356890459364</v>
      </c>
      <c r="J100">
        <v>5508600</v>
      </c>
      <c r="K100">
        <v>5784080</v>
      </c>
      <c r="L100">
        <v>12048848.6495647</v>
      </c>
      <c r="M100">
        <v>-6264768.6495647402</v>
      </c>
      <c r="P100">
        <f t="shared" si="2"/>
        <v>11.248339771833244</v>
      </c>
      <c r="Q100">
        <f t="shared" si="3"/>
        <v>3.5873492741031558</v>
      </c>
      <c r="T100" s="2">
        <v>75</v>
      </c>
      <c r="U100" s="2">
        <v>9604174.7679231949</v>
      </c>
      <c r="V100" s="2">
        <v>-6026255.4345898647</v>
      </c>
      <c r="W100" s="2">
        <v>-0.82039521808604376</v>
      </c>
    </row>
    <row r="101" spans="1:23" x14ac:dyDescent="0.35">
      <c r="A101" t="s">
        <v>112</v>
      </c>
      <c r="B101">
        <v>12.998377939983801</v>
      </c>
      <c r="C101">
        <v>1.9343065693430701</v>
      </c>
      <c r="D101">
        <v>2.2433090024330902</v>
      </c>
      <c r="E101">
        <v>1.51743714517437</v>
      </c>
      <c r="F101">
        <v>0.307380373073804</v>
      </c>
      <c r="G101">
        <v>0.70559610705596099</v>
      </c>
      <c r="H101">
        <v>1236</v>
      </c>
      <c r="I101">
        <v>13.793795620438001</v>
      </c>
      <c r="J101">
        <v>19568360</v>
      </c>
      <c r="K101">
        <v>13495420.6666667</v>
      </c>
      <c r="L101">
        <v>10704848.5215597</v>
      </c>
      <c r="M101">
        <v>2790572.1451070099</v>
      </c>
      <c r="P101">
        <f t="shared" si="2"/>
        <v>14.82247269212294</v>
      </c>
      <c r="Q101">
        <f t="shared" si="3"/>
        <v>-1.0286770716849389</v>
      </c>
      <c r="T101" s="2">
        <v>76</v>
      </c>
      <c r="U101" s="2">
        <v>22400737.493311062</v>
      </c>
      <c r="V101" s="2">
        <v>-3767404.1599777639</v>
      </c>
      <c r="W101" s="2">
        <v>-0.51288240118443928</v>
      </c>
    </row>
    <row r="102" spans="1:23" x14ac:dyDescent="0.35">
      <c r="A102" t="s">
        <v>113</v>
      </c>
      <c r="B102">
        <v>15.9805555555556</v>
      </c>
      <c r="C102">
        <v>8.6527777777777803</v>
      </c>
      <c r="D102">
        <v>2.9083333333333301</v>
      </c>
      <c r="E102">
        <v>1.8583333333333301</v>
      </c>
      <c r="F102">
        <v>1.5888888888888899</v>
      </c>
      <c r="G102">
        <v>0.82222222222222197</v>
      </c>
      <c r="H102">
        <v>360</v>
      </c>
      <c r="I102">
        <v>23.297916666666701</v>
      </c>
      <c r="J102">
        <v>8478720</v>
      </c>
      <c r="K102">
        <v>9529672.3333333302</v>
      </c>
      <c r="L102">
        <v>22964777.982767601</v>
      </c>
      <c r="M102">
        <v>-13435105.6494343</v>
      </c>
      <c r="P102">
        <f t="shared" si="2"/>
        <v>12.984386127873446</v>
      </c>
      <c r="Q102">
        <f t="shared" si="3"/>
        <v>10.313530538793255</v>
      </c>
      <c r="T102" s="2">
        <v>77</v>
      </c>
      <c r="U102" s="2">
        <v>2734173.5589614362</v>
      </c>
      <c r="V102" s="2">
        <v>1868234.7743718941</v>
      </c>
      <c r="W102" s="2">
        <v>0.25433553087699023</v>
      </c>
    </row>
    <row r="103" spans="1:23" x14ac:dyDescent="0.35">
      <c r="A103" t="s">
        <v>114</v>
      </c>
      <c r="B103">
        <v>18.7765042979943</v>
      </c>
      <c r="C103">
        <v>4.8538681948424101</v>
      </c>
      <c r="D103">
        <v>3.6017191977077401</v>
      </c>
      <c r="E103">
        <v>1.8567335243553</v>
      </c>
      <c r="F103">
        <v>0.361031518624642</v>
      </c>
      <c r="G103">
        <v>1.0200573065902601</v>
      </c>
      <c r="H103">
        <v>349</v>
      </c>
      <c r="I103">
        <v>22.0199140401146</v>
      </c>
      <c r="J103">
        <v>5258280</v>
      </c>
      <c r="K103">
        <v>5924697.3333333302</v>
      </c>
      <c r="L103">
        <v>21316206.5918357</v>
      </c>
      <c r="M103">
        <v>-15391509.258502301</v>
      </c>
      <c r="P103">
        <f t="shared" si="2"/>
        <v>11.313514565939085</v>
      </c>
      <c r="Q103">
        <f t="shared" si="3"/>
        <v>10.706399474175514</v>
      </c>
      <c r="T103" s="2">
        <v>78</v>
      </c>
      <c r="U103" s="2">
        <v>18188934.06973321</v>
      </c>
      <c r="V103" s="2">
        <v>14270503.93026679</v>
      </c>
      <c r="W103" s="2">
        <v>1.9427409460391973</v>
      </c>
    </row>
    <row r="104" spans="1:23" x14ac:dyDescent="0.35">
      <c r="A104" t="s">
        <v>115</v>
      </c>
      <c r="B104">
        <v>12.8617318435754</v>
      </c>
      <c r="C104">
        <v>2.9469273743016799</v>
      </c>
      <c r="D104">
        <v>4.8561452513966499</v>
      </c>
      <c r="E104">
        <v>1.4301675977653601</v>
      </c>
      <c r="F104">
        <v>0.38966480446927398</v>
      </c>
      <c r="G104">
        <v>1.1997206703910599</v>
      </c>
      <c r="H104">
        <v>718</v>
      </c>
      <c r="I104">
        <v>17.734287709497199</v>
      </c>
      <c r="J104">
        <v>21250000</v>
      </c>
      <c r="K104">
        <v>14691358</v>
      </c>
      <c r="L104">
        <v>15787922.9920268</v>
      </c>
      <c r="M104">
        <v>-1096564.99202677</v>
      </c>
      <c r="P104">
        <f t="shared" si="2"/>
        <v>15.376778250447817</v>
      </c>
      <c r="Q104">
        <f t="shared" si="3"/>
        <v>2.3575094590493819</v>
      </c>
      <c r="T104" s="2">
        <v>79</v>
      </c>
      <c r="U104" s="2">
        <v>19252566.607547946</v>
      </c>
      <c r="V104" s="2">
        <v>-7490859.9408812467</v>
      </c>
      <c r="W104" s="2">
        <v>-1.0197818100403053</v>
      </c>
    </row>
    <row r="105" spans="1:23" x14ac:dyDescent="0.35">
      <c r="A105" t="s">
        <v>116</v>
      </c>
      <c r="B105">
        <v>6.2022471910112396</v>
      </c>
      <c r="C105">
        <v>1.26292134831461</v>
      </c>
      <c r="D105">
        <v>1.8337078651685399</v>
      </c>
      <c r="E105">
        <v>0.83370786516853901</v>
      </c>
      <c r="F105">
        <v>0.101123595505618</v>
      </c>
      <c r="G105">
        <v>0.60449438202247197</v>
      </c>
      <c r="H105">
        <v>445</v>
      </c>
      <c r="I105">
        <v>7.7844943820224701</v>
      </c>
      <c r="J105">
        <v>1815677</v>
      </c>
      <c r="K105">
        <v>605225.66666666698</v>
      </c>
      <c r="L105">
        <v>2953094.4208101202</v>
      </c>
      <c r="M105">
        <v>-2347868.7541434499</v>
      </c>
      <c r="P105">
        <f t="shared" si="2"/>
        <v>8.8479901358531876</v>
      </c>
      <c r="Q105">
        <f t="shared" si="3"/>
        <v>-1.0634957538307175</v>
      </c>
      <c r="T105" s="2">
        <v>80</v>
      </c>
      <c r="U105" s="2">
        <v>4413006.8241613805</v>
      </c>
      <c r="V105" s="2">
        <v>920326.5091719497</v>
      </c>
      <c r="W105" s="2">
        <v>0.12529031923683717</v>
      </c>
    </row>
    <row r="106" spans="1:23" x14ac:dyDescent="0.35">
      <c r="A106" t="s">
        <v>117</v>
      </c>
      <c r="B106">
        <v>4.1427364864864904</v>
      </c>
      <c r="C106">
        <v>1.5641891891891899</v>
      </c>
      <c r="D106">
        <v>1.1528716216216199</v>
      </c>
      <c r="E106">
        <v>0.62584459459459496</v>
      </c>
      <c r="F106">
        <v>0.21790540540540501</v>
      </c>
      <c r="G106">
        <v>0.54898648648648696</v>
      </c>
      <c r="H106">
        <v>1187</v>
      </c>
      <c r="I106">
        <v>5.9652449324324301</v>
      </c>
      <c r="J106">
        <v>5155500</v>
      </c>
      <c r="K106">
        <v>3518833.3333333302</v>
      </c>
      <c r="L106">
        <v>606336.64954145497</v>
      </c>
      <c r="M106">
        <v>2912496.68379188</v>
      </c>
      <c r="P106">
        <f t="shared" si="2"/>
        <v>10.19841952658884</v>
      </c>
      <c r="Q106">
        <f t="shared" si="3"/>
        <v>-4.2331745941564094</v>
      </c>
      <c r="T106" s="2">
        <v>81</v>
      </c>
      <c r="U106" s="2">
        <v>15013391.888461372</v>
      </c>
      <c r="V106" s="2">
        <v>-8458069.5551280417</v>
      </c>
      <c r="W106" s="2">
        <v>-1.1514546458547934</v>
      </c>
    </row>
    <row r="107" spans="1:23" x14ac:dyDescent="0.35">
      <c r="A107" t="s">
        <v>118</v>
      </c>
      <c r="B107">
        <v>5.0264900662251701</v>
      </c>
      <c r="C107">
        <v>1.3289183222958101</v>
      </c>
      <c r="D107">
        <v>0.556291390728477</v>
      </c>
      <c r="E107">
        <v>0.32008830022075102</v>
      </c>
      <c r="F107">
        <v>0.141280353200883</v>
      </c>
      <c r="G107">
        <v>0.39293598233995602</v>
      </c>
      <c r="H107">
        <v>453</v>
      </c>
      <c r="I107">
        <v>5.7634657836644596</v>
      </c>
      <c r="J107" s="1">
        <v>2000000</v>
      </c>
      <c r="K107">
        <v>2076751</v>
      </c>
      <c r="L107">
        <v>346049.75729700603</v>
      </c>
      <c r="M107">
        <v>1730701.2427029901</v>
      </c>
      <c r="P107">
        <f t="shared" si="2"/>
        <v>9.5300281061949104</v>
      </c>
      <c r="Q107">
        <f t="shared" si="3"/>
        <v>-3.7665623225304508</v>
      </c>
      <c r="T107" s="2">
        <v>82</v>
      </c>
      <c r="U107" s="2">
        <v>15032600.132851081</v>
      </c>
      <c r="V107" s="2">
        <v>3324542.867148919</v>
      </c>
      <c r="W107" s="2">
        <v>0.45259267552382848</v>
      </c>
    </row>
    <row r="108" spans="1:23" x14ac:dyDescent="0.35">
      <c r="A108" t="s">
        <v>119</v>
      </c>
      <c r="B108">
        <v>8.8014705882352899</v>
      </c>
      <c r="C108">
        <v>2.0085784313725501</v>
      </c>
      <c r="D108">
        <v>1.57720588235294</v>
      </c>
      <c r="E108">
        <v>0.89338235294117696</v>
      </c>
      <c r="F108">
        <v>0.20588235294117599</v>
      </c>
      <c r="G108">
        <v>0.93014705882352899</v>
      </c>
      <c r="H108">
        <v>818</v>
      </c>
      <c r="I108">
        <v>10.474509803921601</v>
      </c>
      <c r="J108" s="1">
        <v>13000000</v>
      </c>
      <c r="K108">
        <v>8666666.6666666698</v>
      </c>
      <c r="L108">
        <v>6423104.8680287898</v>
      </c>
      <c r="M108">
        <v>2243561.79863788</v>
      </c>
      <c r="P108">
        <f t="shared" si="2"/>
        <v>12.584391224657328</v>
      </c>
      <c r="Q108">
        <f t="shared" si="3"/>
        <v>-2.1098814207357268</v>
      </c>
      <c r="T108" s="2">
        <v>83</v>
      </c>
      <c r="U108" s="2">
        <v>19541856.9673618</v>
      </c>
      <c r="V108" s="2">
        <v>-15627540.9673618</v>
      </c>
      <c r="W108" s="2">
        <v>-2.1274836453957788</v>
      </c>
    </row>
    <row r="109" spans="1:23" x14ac:dyDescent="0.35">
      <c r="A109" t="s">
        <v>120</v>
      </c>
      <c r="B109">
        <v>4.72108843537415</v>
      </c>
      <c r="C109">
        <v>2.4467120181405901</v>
      </c>
      <c r="D109">
        <v>1.0294784580498899</v>
      </c>
      <c r="E109">
        <v>0.54648526077097503</v>
      </c>
      <c r="F109">
        <v>0.25850340136054401</v>
      </c>
      <c r="G109">
        <v>0.76870748299319702</v>
      </c>
      <c r="H109">
        <v>444</v>
      </c>
      <c r="I109">
        <v>7.2816326530612301</v>
      </c>
      <c r="J109">
        <v>8300000</v>
      </c>
      <c r="K109">
        <v>8715000</v>
      </c>
      <c r="L109">
        <v>2304423.2500812602</v>
      </c>
      <c r="M109">
        <v>6410576.7499187402</v>
      </c>
      <c r="P109">
        <f t="shared" si="2"/>
        <v>12.606793264105633</v>
      </c>
      <c r="Q109">
        <f t="shared" si="3"/>
        <v>-5.325160611044403</v>
      </c>
      <c r="T109" s="2">
        <v>84</v>
      </c>
      <c r="U109" s="2">
        <v>24439000.018331714</v>
      </c>
      <c r="V109" s="2">
        <v>15527533.315001585</v>
      </c>
      <c r="W109" s="2">
        <v>2.1138689221801976</v>
      </c>
    </row>
    <row r="110" spans="1:23" x14ac:dyDescent="0.35">
      <c r="A110" t="s">
        <v>121</v>
      </c>
      <c r="B110">
        <v>6.4325842696629199</v>
      </c>
      <c r="C110">
        <v>2.1544943820224698</v>
      </c>
      <c r="D110">
        <v>0.851123595505618</v>
      </c>
      <c r="E110">
        <v>0.61376404494381998</v>
      </c>
      <c r="F110">
        <v>0.13061797752809001</v>
      </c>
      <c r="G110">
        <v>0.28651685393258403</v>
      </c>
      <c r="H110">
        <v>714</v>
      </c>
      <c r="I110">
        <v>7.50941011235955</v>
      </c>
      <c r="J110">
        <v>3465000</v>
      </c>
      <c r="K110">
        <v>1155000</v>
      </c>
      <c r="L110">
        <v>2598246.9051323198</v>
      </c>
      <c r="M110">
        <v>-1443246.90513232</v>
      </c>
      <c r="P110">
        <f t="shared" si="2"/>
        <v>9.102805300742844</v>
      </c>
      <c r="Q110">
        <f t="shared" si="3"/>
        <v>-1.593395188383294</v>
      </c>
      <c r="T110" s="2">
        <v>85</v>
      </c>
      <c r="U110" s="2">
        <v>14031383.645202694</v>
      </c>
      <c r="V110" s="2">
        <v>-7902905.9785360247</v>
      </c>
      <c r="W110" s="2">
        <v>-1.0758764450242417</v>
      </c>
    </row>
    <row r="111" spans="1:23" x14ac:dyDescent="0.35">
      <c r="A111" t="s">
        <v>122</v>
      </c>
      <c r="B111">
        <v>23.0841209829868</v>
      </c>
      <c r="C111">
        <v>9.6474480151228708</v>
      </c>
      <c r="D111">
        <v>4.76654064272212</v>
      </c>
      <c r="E111">
        <v>2.9224952741020802</v>
      </c>
      <c r="F111">
        <v>1.18241965973535</v>
      </c>
      <c r="G111">
        <v>1.0623818525519799</v>
      </c>
      <c r="H111">
        <v>1060</v>
      </c>
      <c r="I111">
        <v>30.5811436672968</v>
      </c>
      <c r="J111">
        <v>42492492</v>
      </c>
      <c r="K111">
        <v>45640084</v>
      </c>
      <c r="L111">
        <v>32359844.4853267</v>
      </c>
      <c r="M111">
        <v>13280239.5146733</v>
      </c>
      <c r="P111">
        <f t="shared" si="2"/>
        <v>29.721217851692924</v>
      </c>
      <c r="Q111">
        <f t="shared" si="3"/>
        <v>0.85992581560387649</v>
      </c>
      <c r="T111" s="2">
        <v>86</v>
      </c>
      <c r="U111" s="2">
        <v>12858103.250620862</v>
      </c>
      <c r="V111" s="2">
        <v>-9058103.2506208625</v>
      </c>
      <c r="W111" s="2">
        <v>-1.233141321737677</v>
      </c>
    </row>
    <row r="112" spans="1:23" x14ac:dyDescent="0.35">
      <c r="A112" t="s">
        <v>123</v>
      </c>
      <c r="B112">
        <v>5.31372549019608</v>
      </c>
      <c r="C112">
        <v>4.68627450980392</v>
      </c>
      <c r="D112">
        <v>1</v>
      </c>
      <c r="E112">
        <v>0.54901960784313697</v>
      </c>
      <c r="F112">
        <v>1.07843137254902</v>
      </c>
      <c r="G112">
        <v>0.62745098039215697</v>
      </c>
      <c r="H112">
        <v>51</v>
      </c>
      <c r="I112">
        <v>10.165686274509801</v>
      </c>
      <c r="J112">
        <v>5377520</v>
      </c>
      <c r="K112">
        <v>2481368.3333333302</v>
      </c>
      <c r="L112">
        <v>6024735.0800038399</v>
      </c>
      <c r="M112">
        <v>-3543366.7466705102</v>
      </c>
      <c r="P112">
        <f t="shared" si="2"/>
        <v>9.7175643847356419</v>
      </c>
      <c r="Q112">
        <f t="shared" si="3"/>
        <v>0.44812188977415879</v>
      </c>
      <c r="T112" s="2">
        <v>87</v>
      </c>
      <c r="U112" s="2">
        <v>24716831.827118307</v>
      </c>
      <c r="V112" s="2">
        <v>-10350165.160451608</v>
      </c>
      <c r="W112" s="2">
        <v>-1.4090385142483037</v>
      </c>
    </row>
    <row r="113" spans="1:23" x14ac:dyDescent="0.35">
      <c r="A113" t="s">
        <v>124</v>
      </c>
      <c r="B113">
        <v>6.1042830540037203</v>
      </c>
      <c r="C113">
        <v>3.1378026070763498</v>
      </c>
      <c r="D113">
        <v>1.2067039106145301</v>
      </c>
      <c r="E113">
        <v>0.84357541899441302</v>
      </c>
      <c r="F113">
        <v>0.46927374301676</v>
      </c>
      <c r="G113">
        <v>0.44134078212290501</v>
      </c>
      <c r="H113">
        <v>537</v>
      </c>
      <c r="I113">
        <v>8.7839851024208606</v>
      </c>
      <c r="J113">
        <v>4306281</v>
      </c>
      <c r="K113">
        <v>3513925</v>
      </c>
      <c r="L113">
        <v>4242396.7844493603</v>
      </c>
      <c r="M113">
        <v>-728471.78444935603</v>
      </c>
      <c r="P113">
        <f t="shared" si="2"/>
        <v>10.196144560858659</v>
      </c>
      <c r="Q113">
        <f t="shared" si="3"/>
        <v>-1.4121594584377988</v>
      </c>
      <c r="T113" s="2">
        <v>88</v>
      </c>
      <c r="U113" s="2">
        <v>1622280.1557309069</v>
      </c>
      <c r="V113" s="2">
        <v>-865399.15573090687</v>
      </c>
      <c r="W113" s="2">
        <v>-0.1178126843117553</v>
      </c>
    </row>
    <row r="114" spans="1:23" x14ac:dyDescent="0.35">
      <c r="A114" t="s">
        <v>125</v>
      </c>
      <c r="B114">
        <v>9.7706422018348604</v>
      </c>
      <c r="C114">
        <v>2.7064220183486198</v>
      </c>
      <c r="D114">
        <v>1.88807339449541</v>
      </c>
      <c r="E114">
        <v>0.93394495412844003</v>
      </c>
      <c r="F114">
        <v>0.25137614678899101</v>
      </c>
      <c r="G114">
        <v>0.69174311926605503</v>
      </c>
      <c r="H114">
        <v>547</v>
      </c>
      <c r="I114">
        <v>11.8573394495413</v>
      </c>
      <c r="J114">
        <v>8925000</v>
      </c>
      <c r="K114">
        <v>5950000</v>
      </c>
      <c r="L114">
        <v>8206898.8485244503</v>
      </c>
      <c r="M114">
        <v>-2256898.8485244499</v>
      </c>
      <c r="P114">
        <f t="shared" si="2"/>
        <v>11.325242110838687</v>
      </c>
      <c r="Q114">
        <f t="shared" si="3"/>
        <v>0.53209733870261289</v>
      </c>
      <c r="T114" s="2">
        <v>89</v>
      </c>
      <c r="U114" s="2">
        <v>27343416.791811824</v>
      </c>
      <c r="V114" s="2">
        <v>5818613.2081881762</v>
      </c>
      <c r="W114" s="2">
        <v>0.79212746683293433</v>
      </c>
    </row>
    <row r="115" spans="1:23" x14ac:dyDescent="0.35">
      <c r="A115" t="s">
        <v>126</v>
      </c>
      <c r="B115">
        <v>13.1176961602671</v>
      </c>
      <c r="C115">
        <v>4.5634390651085104</v>
      </c>
      <c r="D115">
        <v>1.6928213689482501</v>
      </c>
      <c r="E115">
        <v>1.0843071786310501</v>
      </c>
      <c r="F115">
        <v>0.18781302170283801</v>
      </c>
      <c r="G115">
        <v>0.662771285475793</v>
      </c>
      <c r="H115">
        <v>1199</v>
      </c>
      <c r="I115">
        <v>15.4902754590985</v>
      </c>
      <c r="J115">
        <v>18352273</v>
      </c>
      <c r="K115">
        <v>6117424.3333333302</v>
      </c>
      <c r="L115">
        <v>12893238.489782199</v>
      </c>
      <c r="M115">
        <v>-6775814.15644887</v>
      </c>
      <c r="P115">
        <f t="shared" si="2"/>
        <v>11.402841694009854</v>
      </c>
      <c r="Q115">
        <f t="shared" si="3"/>
        <v>4.0874337650886456</v>
      </c>
      <c r="T115" s="2">
        <v>90</v>
      </c>
      <c r="U115" s="2">
        <v>11448761.454471195</v>
      </c>
      <c r="V115" s="2">
        <v>-8373761.4544711951</v>
      </c>
      <c r="W115" s="2">
        <v>-1.1399772095968164</v>
      </c>
    </row>
    <row r="116" spans="1:23" x14ac:dyDescent="0.35">
      <c r="A116" t="s">
        <v>127</v>
      </c>
      <c r="B116">
        <v>4.0625</v>
      </c>
      <c r="C116">
        <v>2.2727272727272698</v>
      </c>
      <c r="D116">
        <v>0.78977272727272696</v>
      </c>
      <c r="E116">
        <v>0.46590909090909099</v>
      </c>
      <c r="F116">
        <v>0.27840909090909099</v>
      </c>
      <c r="G116">
        <v>0.55113636363636398</v>
      </c>
      <c r="H116">
        <v>352</v>
      </c>
      <c r="I116">
        <v>6.2514204545454497</v>
      </c>
      <c r="J116">
        <v>1752638</v>
      </c>
      <c r="K116">
        <v>1218258.33333333</v>
      </c>
      <c r="L116">
        <v>975491.42961679795</v>
      </c>
      <c r="M116">
        <v>242766.90371653601</v>
      </c>
      <c r="P116">
        <f t="shared" si="2"/>
        <v>9.1321249354759626</v>
      </c>
      <c r="Q116">
        <f t="shared" si="3"/>
        <v>-2.8807044809305129</v>
      </c>
      <c r="T116" s="2">
        <v>91</v>
      </c>
      <c r="U116" s="2">
        <v>7634396.284867039</v>
      </c>
      <c r="V116" s="2">
        <v>6297611.3817996606</v>
      </c>
      <c r="W116" s="2">
        <v>0.85733675232840645</v>
      </c>
    </row>
    <row r="117" spans="1:23" x14ac:dyDescent="0.35">
      <c r="A117" t="s">
        <v>128</v>
      </c>
      <c r="B117">
        <v>13.372365339578501</v>
      </c>
      <c r="C117">
        <v>3.2482435597189698</v>
      </c>
      <c r="D117">
        <v>3.74941451990632</v>
      </c>
      <c r="E117">
        <v>1.2740046838407499</v>
      </c>
      <c r="F117">
        <v>0.114754098360656</v>
      </c>
      <c r="G117">
        <v>0.76346604215456704</v>
      </c>
      <c r="H117">
        <v>427</v>
      </c>
      <c r="I117">
        <v>16.618501170960201</v>
      </c>
      <c r="J117">
        <v>2316240</v>
      </c>
      <c r="K117">
        <v>4205264</v>
      </c>
      <c r="L117">
        <v>14348603.754646299</v>
      </c>
      <c r="M117">
        <v>-10143339.754646299</v>
      </c>
      <c r="P117">
        <f t="shared" si="2"/>
        <v>10.516573599827346</v>
      </c>
      <c r="Q117">
        <f t="shared" si="3"/>
        <v>6.1019275711328547</v>
      </c>
      <c r="T117" s="2">
        <v>92</v>
      </c>
      <c r="U117" s="2">
        <v>2761754.0959583521</v>
      </c>
      <c r="V117" s="2">
        <v>6404912.5707083177</v>
      </c>
      <c r="W117" s="2">
        <v>0.87194439437595939</v>
      </c>
    </row>
    <row r="118" spans="1:23" x14ac:dyDescent="0.35">
      <c r="A118" t="s">
        <v>129</v>
      </c>
      <c r="B118">
        <v>7.8755760368663603</v>
      </c>
      <c r="C118">
        <v>2.62903225806452</v>
      </c>
      <c r="D118">
        <v>1.52764976958525</v>
      </c>
      <c r="E118">
        <v>0.78571428571428603</v>
      </c>
      <c r="F118">
        <v>0.37327188940092199</v>
      </c>
      <c r="G118">
        <v>0.76267281105990803</v>
      </c>
      <c r="H118">
        <v>434</v>
      </c>
      <c r="I118">
        <v>10.2806451612903</v>
      </c>
      <c r="J118">
        <v>7040880</v>
      </c>
      <c r="K118">
        <v>9263549.3333333302</v>
      </c>
      <c r="L118">
        <v>6173027.3666879898</v>
      </c>
      <c r="M118">
        <v>3090521.96664534</v>
      </c>
      <c r="P118">
        <f t="shared" si="2"/>
        <v>12.86104065316789</v>
      </c>
      <c r="Q118">
        <f t="shared" si="3"/>
        <v>-2.5803954918775904</v>
      </c>
      <c r="T118" s="2">
        <v>93</v>
      </c>
      <c r="U118" s="2">
        <v>16058417.848435821</v>
      </c>
      <c r="V118" s="2">
        <v>1739146.151564179</v>
      </c>
      <c r="W118" s="2">
        <v>0.2367618169828048</v>
      </c>
    </row>
    <row r="119" spans="1:23" x14ac:dyDescent="0.35">
      <c r="A119" t="s">
        <v>130</v>
      </c>
      <c r="B119">
        <v>6.1826401446654602</v>
      </c>
      <c r="C119">
        <v>5.7377938517178997</v>
      </c>
      <c r="D119">
        <v>1.8336347197106699</v>
      </c>
      <c r="E119">
        <v>1.03074141048825</v>
      </c>
      <c r="F119">
        <v>0.77757685352622097</v>
      </c>
      <c r="G119">
        <v>0.62567811934900497</v>
      </c>
      <c r="H119">
        <v>555</v>
      </c>
      <c r="I119">
        <v>11.948734177215201</v>
      </c>
      <c r="J119">
        <v>8854879</v>
      </c>
      <c r="K119">
        <v>6033333.3333333302</v>
      </c>
      <c r="L119">
        <v>8324794.3287017597</v>
      </c>
      <c r="M119">
        <v>-2291460.9953684201</v>
      </c>
      <c r="P119">
        <f t="shared" si="2"/>
        <v>11.363866316784042</v>
      </c>
      <c r="Q119">
        <f t="shared" si="3"/>
        <v>0.58486786043115835</v>
      </c>
      <c r="T119" s="2">
        <v>94</v>
      </c>
      <c r="U119" s="2">
        <v>2755034.4199158642</v>
      </c>
      <c r="V119" s="2">
        <v>-2098976.0865825312</v>
      </c>
      <c r="W119" s="2">
        <v>-0.2857479180894465</v>
      </c>
    </row>
    <row r="120" spans="1:23" x14ac:dyDescent="0.35">
      <c r="A120" t="s">
        <v>131</v>
      </c>
      <c r="B120">
        <v>5.1205211726384396</v>
      </c>
      <c r="C120">
        <v>3.3257328990228001</v>
      </c>
      <c r="D120">
        <v>0.53094462540716603</v>
      </c>
      <c r="E120">
        <v>0.65146579804560301</v>
      </c>
      <c r="F120">
        <v>0.925081433224756</v>
      </c>
      <c r="G120">
        <v>0.44625407166123798</v>
      </c>
      <c r="H120">
        <v>307</v>
      </c>
      <c r="I120">
        <v>8.0775244299674291</v>
      </c>
      <c r="J120">
        <v>2573760</v>
      </c>
      <c r="K120">
        <v>3235140</v>
      </c>
      <c r="L120">
        <v>3331091.26032271</v>
      </c>
      <c r="M120">
        <v>-95951.260322706803</v>
      </c>
      <c r="P120">
        <f t="shared" si="2"/>
        <v>10.066930369804943</v>
      </c>
      <c r="Q120">
        <f t="shared" si="3"/>
        <v>-1.9894059398375141</v>
      </c>
      <c r="T120" s="2">
        <v>95</v>
      </c>
      <c r="U120" s="2">
        <v>1883019.7542698756</v>
      </c>
      <c r="V120" s="2">
        <v>-1758234.0876032086</v>
      </c>
      <c r="W120" s="2">
        <v>-0.2393603877900872</v>
      </c>
    </row>
    <row r="121" spans="1:23" x14ac:dyDescent="0.35">
      <c r="A121" t="s">
        <v>132</v>
      </c>
      <c r="B121">
        <v>6.4475247524752497</v>
      </c>
      <c r="C121">
        <v>1.6910891089108899</v>
      </c>
      <c r="D121">
        <v>0.94059405940594099</v>
      </c>
      <c r="E121">
        <v>0.40792079207920801</v>
      </c>
      <c r="F121">
        <v>0.12277227722772301</v>
      </c>
      <c r="G121">
        <v>0.42970297029702997</v>
      </c>
      <c r="H121">
        <v>505</v>
      </c>
      <c r="I121">
        <v>7.4776237623762398</v>
      </c>
      <c r="J121">
        <v>1836090</v>
      </c>
      <c r="K121">
        <v>1999440.33333333</v>
      </c>
      <c r="L121">
        <v>2557243.80692585</v>
      </c>
      <c r="M121">
        <v>-557803.47359251895</v>
      </c>
      <c r="P121">
        <f t="shared" si="2"/>
        <v>9.4941953488616342</v>
      </c>
      <c r="Q121">
        <f t="shared" si="3"/>
        <v>-2.0165715864853944</v>
      </c>
      <c r="T121" s="2">
        <v>96</v>
      </c>
      <c r="U121" s="2">
        <v>7227063.8052199073</v>
      </c>
      <c r="V121" s="2">
        <v>10926936.194780093</v>
      </c>
      <c r="W121" s="2">
        <v>1.4875582855440312</v>
      </c>
    </row>
    <row r="122" spans="1:23" x14ac:dyDescent="0.35">
      <c r="A122" t="s">
        <v>133</v>
      </c>
      <c r="B122">
        <v>8.0565110565110594</v>
      </c>
      <c r="C122">
        <v>6.2260442260442304</v>
      </c>
      <c r="D122">
        <v>1.1744471744471701</v>
      </c>
      <c r="E122">
        <v>1.0663390663390699</v>
      </c>
      <c r="F122">
        <v>1.1031941031940999</v>
      </c>
      <c r="G122">
        <v>0.35872235872235902</v>
      </c>
      <c r="H122">
        <v>407</v>
      </c>
      <c r="I122">
        <v>13.126412776412799</v>
      </c>
      <c r="J122">
        <v>3433320</v>
      </c>
      <c r="K122">
        <v>5366588</v>
      </c>
      <c r="L122">
        <v>9843951.8061694708</v>
      </c>
      <c r="M122">
        <v>-4477363.8061694698</v>
      </c>
      <c r="P122">
        <f t="shared" si="2"/>
        <v>11.054836207970776</v>
      </c>
      <c r="Q122">
        <f t="shared" si="3"/>
        <v>2.0715765684420226</v>
      </c>
      <c r="T122" s="2">
        <v>97</v>
      </c>
      <c r="U122" s="2">
        <v>3803567.8018967733</v>
      </c>
      <c r="V122" s="2">
        <v>-110192.80189677328</v>
      </c>
      <c r="W122" s="2">
        <v>-1.5001297028453639E-2</v>
      </c>
    </row>
    <row r="123" spans="1:23" x14ac:dyDescent="0.35">
      <c r="A123" t="s">
        <v>134</v>
      </c>
      <c r="B123">
        <v>9.2468354430379804</v>
      </c>
      <c r="C123">
        <v>7.3177215189873399</v>
      </c>
      <c r="D123">
        <v>1.22151898734177</v>
      </c>
      <c r="E123">
        <v>1.1278481012658199</v>
      </c>
      <c r="F123">
        <v>0.854430379746835</v>
      </c>
      <c r="G123">
        <v>0.33797468354430399</v>
      </c>
      <c r="H123">
        <v>793</v>
      </c>
      <c r="I123">
        <v>14.639303797468401</v>
      </c>
      <c r="J123">
        <v>10123457</v>
      </c>
      <c r="K123">
        <v>10933333.3333333</v>
      </c>
      <c r="L123">
        <v>11795519.669248801</v>
      </c>
      <c r="M123">
        <v>-862186.33591551101</v>
      </c>
      <c r="P123">
        <f t="shared" si="2"/>
        <v>13.634969626371022</v>
      </c>
      <c r="Q123">
        <f t="shared" si="3"/>
        <v>1.0043341710973781</v>
      </c>
      <c r="T123" s="2">
        <v>98</v>
      </c>
      <c r="U123" s="2">
        <v>12051225.897396682</v>
      </c>
      <c r="V123" s="2">
        <v>-6267145.8973966818</v>
      </c>
      <c r="W123" s="2">
        <v>-0.853189278330305</v>
      </c>
    </row>
    <row r="124" spans="1:23" x14ac:dyDescent="0.35">
      <c r="A124" t="s">
        <v>135</v>
      </c>
      <c r="B124">
        <v>1.4375</v>
      </c>
      <c r="C124">
        <v>0.51388888888888895</v>
      </c>
      <c r="D124">
        <v>0.71527777777777801</v>
      </c>
      <c r="E124">
        <v>0.25694444444444398</v>
      </c>
      <c r="F124">
        <v>9.0277777777777804E-2</v>
      </c>
      <c r="G124">
        <v>0.15972222222222199</v>
      </c>
      <c r="H124">
        <v>144</v>
      </c>
      <c r="I124">
        <v>2.3260416666666699</v>
      </c>
      <c r="J124">
        <v>508891</v>
      </c>
      <c r="K124">
        <v>756881</v>
      </c>
      <c r="L124">
        <v>-4088087.4972332702</v>
      </c>
      <c r="M124">
        <v>4844968.4972332697</v>
      </c>
      <c r="P124">
        <f t="shared" si="2"/>
        <v>8.9182809377817289</v>
      </c>
      <c r="Q124">
        <f t="shared" si="3"/>
        <v>-6.5922392711150586</v>
      </c>
      <c r="T124" s="2">
        <v>99</v>
      </c>
      <c r="U124" s="2">
        <v>10707643.002114637</v>
      </c>
      <c r="V124" s="2">
        <v>2787777.6645520627</v>
      </c>
      <c r="W124" s="2">
        <v>0.37951917072052316</v>
      </c>
    </row>
    <row r="125" spans="1:23" x14ac:dyDescent="0.35">
      <c r="A125" t="s">
        <v>136</v>
      </c>
      <c r="B125">
        <v>2.4818840579710102</v>
      </c>
      <c r="C125">
        <v>1.5615942028985501</v>
      </c>
      <c r="D125">
        <v>0.34057971014492799</v>
      </c>
      <c r="E125">
        <v>0.32246376811594202</v>
      </c>
      <c r="F125">
        <v>0.28623188405797101</v>
      </c>
      <c r="G125">
        <v>0.184782608695652</v>
      </c>
      <c r="H125">
        <v>276</v>
      </c>
      <c r="I125">
        <v>3.7610507246376801</v>
      </c>
      <c r="J125">
        <v>1563518</v>
      </c>
      <c r="K125">
        <v>1796070.66666667</v>
      </c>
      <c r="L125">
        <v>-2236984.19779664</v>
      </c>
      <c r="M125">
        <v>4033054.8644633</v>
      </c>
      <c r="P125">
        <f t="shared" si="2"/>
        <v>9.3999354462011731</v>
      </c>
      <c r="Q125">
        <f t="shared" si="3"/>
        <v>-5.6388847215634925</v>
      </c>
      <c r="T125" s="2">
        <v>100</v>
      </c>
      <c r="U125" s="2">
        <v>22963766.478750005</v>
      </c>
      <c r="V125" s="2">
        <v>-13434094.145416675</v>
      </c>
      <c r="W125" s="2">
        <v>-1.8288747823328275</v>
      </c>
    </row>
    <row r="126" spans="1:23" x14ac:dyDescent="0.35">
      <c r="A126" t="s">
        <v>137</v>
      </c>
      <c r="B126">
        <v>21.085427135678401</v>
      </c>
      <c r="C126">
        <v>4.4170854271356799</v>
      </c>
      <c r="D126">
        <v>6.9497487437185903</v>
      </c>
      <c r="E126">
        <v>3.1557788944723599</v>
      </c>
      <c r="F126">
        <v>0.27386934673366797</v>
      </c>
      <c r="G126">
        <v>0.99748743718593003</v>
      </c>
      <c r="H126">
        <v>398</v>
      </c>
      <c r="I126">
        <v>25.990954773869301</v>
      </c>
      <c r="J126">
        <v>12119440</v>
      </c>
      <c r="K126">
        <v>27266480</v>
      </c>
      <c r="L126">
        <v>26438687.5710457</v>
      </c>
      <c r="M126">
        <v>827792.42895426601</v>
      </c>
      <c r="P126">
        <f t="shared" si="2"/>
        <v>21.205227473439695</v>
      </c>
      <c r="Q126">
        <f t="shared" si="3"/>
        <v>4.7857273004296061</v>
      </c>
      <c r="T126" s="2">
        <v>101</v>
      </c>
      <c r="U126" s="2">
        <v>21315706.871943735</v>
      </c>
      <c r="V126" s="2">
        <v>-15391009.538610404</v>
      </c>
      <c r="W126" s="2">
        <v>-2.0952830101620163</v>
      </c>
    </row>
    <row r="127" spans="1:23" x14ac:dyDescent="0.35">
      <c r="A127" t="s">
        <v>138</v>
      </c>
      <c r="B127">
        <v>4.8114478114478096</v>
      </c>
      <c r="C127">
        <v>3.5050505050505101</v>
      </c>
      <c r="D127">
        <v>0.58585858585858597</v>
      </c>
      <c r="E127">
        <v>0.53535353535353503</v>
      </c>
      <c r="F127">
        <v>0.188552188552189</v>
      </c>
      <c r="G127">
        <v>0.36026936026936002</v>
      </c>
      <c r="H127">
        <v>297</v>
      </c>
      <c r="I127">
        <v>7.2796296296296301</v>
      </c>
      <c r="J127">
        <v>1017781</v>
      </c>
      <c r="K127">
        <v>1585781.33333333</v>
      </c>
      <c r="L127">
        <v>2301839.4313503001</v>
      </c>
      <c r="M127">
        <v>-716058.09801697102</v>
      </c>
      <c r="P127">
        <f t="shared" si="2"/>
        <v>9.3024683439758284</v>
      </c>
      <c r="Q127">
        <f t="shared" si="3"/>
        <v>-2.0228387143461983</v>
      </c>
      <c r="T127" s="2">
        <v>102</v>
      </c>
      <c r="U127" s="2">
        <v>15789139.477938483</v>
      </c>
      <c r="V127" s="2">
        <v>-1097781.4779384825</v>
      </c>
      <c r="W127" s="2">
        <v>-0.14944847339771866</v>
      </c>
    </row>
    <row r="128" spans="1:23" x14ac:dyDescent="0.35">
      <c r="A128" t="s">
        <v>139</v>
      </c>
      <c r="B128">
        <v>6.1146496815286602</v>
      </c>
      <c r="C128">
        <v>1.2802547770700601</v>
      </c>
      <c r="D128">
        <v>1.05414012738854</v>
      </c>
      <c r="E128">
        <v>0.81847133757961799</v>
      </c>
      <c r="F128">
        <v>6.0509554140127403E-2</v>
      </c>
      <c r="G128">
        <v>0.28025477707006402</v>
      </c>
      <c r="H128">
        <v>314</v>
      </c>
      <c r="I128">
        <v>6.5958598726114603</v>
      </c>
      <c r="J128">
        <v>1017781</v>
      </c>
      <c r="K128">
        <v>1585781.33333333</v>
      </c>
      <c r="L128">
        <v>1419804.26492359</v>
      </c>
      <c r="M128">
        <v>165977.06840974599</v>
      </c>
      <c r="P128">
        <f t="shared" si="2"/>
        <v>9.3024683439758284</v>
      </c>
      <c r="Q128">
        <f t="shared" si="3"/>
        <v>-2.7066084713643681</v>
      </c>
      <c r="T128" s="2">
        <v>103</v>
      </c>
      <c r="U128" s="2">
        <v>2958295.363540139</v>
      </c>
      <c r="V128" s="2">
        <v>-2353069.6968734721</v>
      </c>
      <c r="W128" s="2">
        <v>-0.32033941277325817</v>
      </c>
    </row>
    <row r="129" spans="1:23" x14ac:dyDescent="0.35">
      <c r="A129" t="s">
        <v>140</v>
      </c>
      <c r="B129">
        <v>14.0165975103734</v>
      </c>
      <c r="C129">
        <v>3.2946058091286301</v>
      </c>
      <c r="D129">
        <v>3.7510373443983398</v>
      </c>
      <c r="E129">
        <v>2.4564315352697101</v>
      </c>
      <c r="F129">
        <v>0.36099585062240702</v>
      </c>
      <c r="G129">
        <v>0.72199170124481304</v>
      </c>
      <c r="H129">
        <v>241</v>
      </c>
      <c r="I129">
        <v>16.753941908713699</v>
      </c>
      <c r="J129">
        <v>7252200</v>
      </c>
      <c r="K129">
        <v>7614640</v>
      </c>
      <c r="L129">
        <v>14523316.7957529</v>
      </c>
      <c r="M129">
        <v>-6908676.79575295</v>
      </c>
      <c r="P129">
        <f t="shared" si="2"/>
        <v>12.096786889057237</v>
      </c>
      <c r="Q129">
        <f t="shared" si="3"/>
        <v>4.6571550196564626</v>
      </c>
      <c r="T129" s="2">
        <v>104</v>
      </c>
      <c r="U129" s="2">
        <v>612266.12206451315</v>
      </c>
      <c r="V129" s="2">
        <v>2906567.2112688171</v>
      </c>
      <c r="W129" s="2">
        <v>0.39569080120363537</v>
      </c>
    </row>
    <row r="130" spans="1:23" x14ac:dyDescent="0.35">
      <c r="A130" t="s">
        <v>141</v>
      </c>
      <c r="B130">
        <v>10.6687370600414</v>
      </c>
      <c r="C130">
        <v>4.1014492753623202</v>
      </c>
      <c r="D130">
        <v>1.59834368530021</v>
      </c>
      <c r="E130">
        <v>1.16149068322981</v>
      </c>
      <c r="F130">
        <v>0.84265010351966896</v>
      </c>
      <c r="G130">
        <v>0.88405797101449302</v>
      </c>
      <c r="H130">
        <v>483</v>
      </c>
      <c r="I130">
        <v>14.027018633540401</v>
      </c>
      <c r="J130">
        <v>2161440</v>
      </c>
      <c r="K130">
        <v>3958641</v>
      </c>
      <c r="L130">
        <v>11005696.719458001</v>
      </c>
      <c r="M130">
        <v>-7047055.7194580398</v>
      </c>
      <c r="P130">
        <f t="shared" si="2"/>
        <v>10.402266189313005</v>
      </c>
      <c r="Q130">
        <f t="shared" si="3"/>
        <v>3.6247524442273953</v>
      </c>
      <c r="T130" s="2">
        <v>105</v>
      </c>
      <c r="U130" s="2">
        <v>352060.03353916295</v>
      </c>
      <c r="V130" s="2">
        <v>1724690.9664608371</v>
      </c>
      <c r="W130" s="2">
        <v>0.23479393413016938</v>
      </c>
    </row>
    <row r="131" spans="1:23" x14ac:dyDescent="0.35">
      <c r="A131" t="s">
        <v>142</v>
      </c>
      <c r="B131">
        <v>1.5773584905660401</v>
      </c>
      <c r="C131">
        <v>0.72452830188679196</v>
      </c>
      <c r="D131">
        <v>0.4</v>
      </c>
      <c r="E131">
        <v>0.26792452830188701</v>
      </c>
      <c r="F131">
        <v>0.113207547169811</v>
      </c>
      <c r="G131">
        <v>0.29433962264150898</v>
      </c>
      <c r="H131">
        <v>265</v>
      </c>
      <c r="I131">
        <v>2.4362264150943398</v>
      </c>
      <c r="J131">
        <v>2125200</v>
      </c>
      <c r="K131">
        <v>2789934.3333333302</v>
      </c>
      <c r="L131">
        <v>-3945953.65478181</v>
      </c>
      <c r="M131">
        <v>6735887.9881151496</v>
      </c>
      <c r="P131">
        <f t="shared" ref="P131:P194" si="4">INTERCEPT($I$2:$I$331, $K$2:$K$331) + SLOPE($I$2:$I$331, $K$2:$K$331) * K131</f>
        <v>9.8605817855164624</v>
      </c>
      <c r="Q131">
        <f t="shared" ref="Q131:Q194" si="5">I131 - P131</f>
        <v>-7.4243553704221226</v>
      </c>
      <c r="T131" s="2">
        <v>106</v>
      </c>
      <c r="U131" s="2">
        <v>6427228.577299187</v>
      </c>
      <c r="V131" s="2">
        <v>2239438.0893674828</v>
      </c>
      <c r="W131" s="2">
        <v>0.30486996770356239</v>
      </c>
    </row>
    <row r="132" spans="1:23" x14ac:dyDescent="0.35">
      <c r="A132" t="s">
        <v>143</v>
      </c>
      <c r="B132">
        <v>8.4596848934198299</v>
      </c>
      <c r="C132">
        <v>3.8693234476367002</v>
      </c>
      <c r="D132">
        <v>1.4661723818350301</v>
      </c>
      <c r="E132">
        <v>0.74698795180722899</v>
      </c>
      <c r="F132">
        <v>0.31047265987025002</v>
      </c>
      <c r="G132">
        <v>0.87581093605189997</v>
      </c>
      <c r="H132">
        <v>1081</v>
      </c>
      <c r="I132">
        <v>11.7191844300278</v>
      </c>
      <c r="J132">
        <v>10183800</v>
      </c>
      <c r="K132">
        <v>3394600</v>
      </c>
      <c r="L132">
        <v>8028684.4943818199</v>
      </c>
      <c r="M132">
        <v>-4634084.4943818199</v>
      </c>
      <c r="P132">
        <f t="shared" si="4"/>
        <v>10.140838560365504</v>
      </c>
      <c r="Q132">
        <f t="shared" si="5"/>
        <v>1.5783458696622965</v>
      </c>
      <c r="T132" s="2">
        <v>107</v>
      </c>
      <c r="U132" s="2">
        <v>2309825.5669281874</v>
      </c>
      <c r="V132" s="2">
        <v>6405174.4330718126</v>
      </c>
      <c r="W132" s="2">
        <v>0.87198004348395686</v>
      </c>
    </row>
    <row r="133" spans="1:23" x14ac:dyDescent="0.35">
      <c r="A133" t="s">
        <v>144</v>
      </c>
      <c r="B133">
        <v>6.30339805825243</v>
      </c>
      <c r="C133">
        <v>3.23300970873786</v>
      </c>
      <c r="D133">
        <v>1.5291262135922301</v>
      </c>
      <c r="E133">
        <v>0.86407766990291301</v>
      </c>
      <c r="F133">
        <v>0.274271844660194</v>
      </c>
      <c r="G133">
        <v>0.64563106796116498</v>
      </c>
      <c r="H133">
        <v>412</v>
      </c>
      <c r="I133">
        <v>9.3309466019417506</v>
      </c>
      <c r="J133">
        <v>7065217</v>
      </c>
      <c r="K133">
        <v>6876811.3333333302</v>
      </c>
      <c r="L133">
        <v>4947954.8649394503</v>
      </c>
      <c r="M133">
        <v>1928856.4683938799</v>
      </c>
      <c r="P133">
        <f t="shared" si="4"/>
        <v>11.754810332572577</v>
      </c>
      <c r="Q133">
        <f t="shared" si="5"/>
        <v>-2.4238637306308259</v>
      </c>
      <c r="T133" s="2">
        <v>108</v>
      </c>
      <c r="U133" s="2">
        <v>2603558.007074479</v>
      </c>
      <c r="V133" s="2">
        <v>-1448558.007074479</v>
      </c>
      <c r="W133" s="2">
        <v>-0.19720207266737469</v>
      </c>
    </row>
    <row r="134" spans="1:23" x14ac:dyDescent="0.35">
      <c r="A134" t="s">
        <v>145</v>
      </c>
      <c r="B134">
        <v>6.4081632653061202</v>
      </c>
      <c r="C134">
        <v>2.9469387755101999</v>
      </c>
      <c r="D134">
        <v>1.5224489795918399</v>
      </c>
      <c r="E134">
        <v>0.95102040816326505</v>
      </c>
      <c r="F134">
        <v>0.28979591836734703</v>
      </c>
      <c r="G134">
        <v>0.787755102040816</v>
      </c>
      <c r="H134">
        <v>245</v>
      </c>
      <c r="I134">
        <v>9.2881632653061192</v>
      </c>
      <c r="J134">
        <v>3047640</v>
      </c>
      <c r="K134">
        <v>3200080</v>
      </c>
      <c r="L134">
        <v>4892766.1013792502</v>
      </c>
      <c r="M134">
        <v>-1692686.1013792499</v>
      </c>
      <c r="P134">
        <f t="shared" si="4"/>
        <v>10.050680393879613</v>
      </c>
      <c r="Q134">
        <f t="shared" si="5"/>
        <v>-0.76251712857349396</v>
      </c>
      <c r="T134" s="2">
        <v>109</v>
      </c>
      <c r="U134" s="2">
        <v>32355916.367614031</v>
      </c>
      <c r="V134" s="2">
        <v>13284167.632385969</v>
      </c>
      <c r="W134" s="2">
        <v>1.8084642644432756</v>
      </c>
    </row>
    <row r="135" spans="1:23" x14ac:dyDescent="0.35">
      <c r="A135" t="s">
        <v>146</v>
      </c>
      <c r="B135">
        <v>8.0555555555555607</v>
      </c>
      <c r="C135">
        <v>6.3875338753387503</v>
      </c>
      <c r="D135">
        <v>1.6571815718157199</v>
      </c>
      <c r="E135">
        <v>1.13821138211382</v>
      </c>
      <c r="F135">
        <v>1.11517615176152</v>
      </c>
      <c r="G135">
        <v>0.57859078590785895</v>
      </c>
      <c r="H135">
        <v>741</v>
      </c>
      <c r="I135">
        <v>13.9335365853659</v>
      </c>
      <c r="J135">
        <v>9398148</v>
      </c>
      <c r="K135">
        <v>3132716</v>
      </c>
      <c r="L135">
        <v>10885108.680760499</v>
      </c>
      <c r="M135">
        <v>-7752392.6807604898</v>
      </c>
      <c r="P135">
        <f t="shared" si="4"/>
        <v>10.019457821767977</v>
      </c>
      <c r="Q135">
        <f t="shared" si="5"/>
        <v>3.9140787635979226</v>
      </c>
      <c r="T135" s="2">
        <v>110</v>
      </c>
      <c r="U135" s="2">
        <v>6028982.4595834129</v>
      </c>
      <c r="V135" s="2">
        <v>-3547614.1262500826</v>
      </c>
      <c r="W135" s="2">
        <v>-0.48296088613909632</v>
      </c>
    </row>
    <row r="136" spans="1:23" x14ac:dyDescent="0.35">
      <c r="A136" t="s">
        <v>147</v>
      </c>
      <c r="B136">
        <v>18.6477794793262</v>
      </c>
      <c r="C136">
        <v>3.1194486983154701</v>
      </c>
      <c r="D136">
        <v>4.8989280245023004</v>
      </c>
      <c r="E136">
        <v>1.73353751914242</v>
      </c>
      <c r="F136">
        <v>9.9540581929555894E-2</v>
      </c>
      <c r="G136">
        <v>0.68606431852986205</v>
      </c>
      <c r="H136">
        <v>654</v>
      </c>
      <c r="I136">
        <v>21.299157733537498</v>
      </c>
      <c r="J136">
        <v>27733332</v>
      </c>
      <c r="K136">
        <v>26346666.333333299</v>
      </c>
      <c r="L136">
        <v>20386460.2813273</v>
      </c>
      <c r="M136">
        <v>5960206.05200601</v>
      </c>
      <c r="P136">
        <f t="shared" si="4"/>
        <v>20.778902603527435</v>
      </c>
      <c r="Q136">
        <f t="shared" si="5"/>
        <v>0.52025513001006374</v>
      </c>
      <c r="T136" s="2">
        <v>111</v>
      </c>
      <c r="U136" s="2">
        <v>4247197.4748842232</v>
      </c>
      <c r="V136" s="2">
        <v>-733272.47488422319</v>
      </c>
      <c r="W136" s="2">
        <v>-9.9825378873950307E-2</v>
      </c>
    </row>
    <row r="137" spans="1:23" x14ac:dyDescent="0.35">
      <c r="A137" t="s">
        <v>148</v>
      </c>
      <c r="B137">
        <v>11.4020618556701</v>
      </c>
      <c r="C137">
        <v>9.3402061855670109</v>
      </c>
      <c r="D137">
        <v>1.8728522336769799</v>
      </c>
      <c r="E137">
        <v>1.6013745704467399</v>
      </c>
      <c r="F137">
        <v>0.86254295532646097</v>
      </c>
      <c r="G137">
        <v>0.61855670103092797</v>
      </c>
      <c r="H137">
        <v>291</v>
      </c>
      <c r="I137">
        <v>18.5769759450172</v>
      </c>
      <c r="J137">
        <v>4124280</v>
      </c>
      <c r="K137">
        <v>4330600</v>
      </c>
      <c r="L137">
        <v>16874956.5299008</v>
      </c>
      <c r="M137">
        <v>-12544356.5299008</v>
      </c>
      <c r="P137">
        <f t="shared" si="4"/>
        <v>10.574665641543753</v>
      </c>
      <c r="Q137">
        <f t="shared" si="5"/>
        <v>8.0023103034734469</v>
      </c>
      <c r="T137" s="2">
        <v>112</v>
      </c>
      <c r="U137" s="2">
        <v>8210468.7950352691</v>
      </c>
      <c r="V137" s="2">
        <v>-2260468.7950352691</v>
      </c>
      <c r="W137" s="2">
        <v>-0.30773302097936517</v>
      </c>
    </row>
    <row r="138" spans="1:23" x14ac:dyDescent="0.35">
      <c r="A138" t="s">
        <v>149</v>
      </c>
      <c r="B138">
        <v>19.480712166172101</v>
      </c>
      <c r="C138">
        <v>4.1572700296735903</v>
      </c>
      <c r="D138">
        <v>3.2344213649851601</v>
      </c>
      <c r="E138">
        <v>2.2789317507418398</v>
      </c>
      <c r="F138">
        <v>0.27893175074184001</v>
      </c>
      <c r="G138">
        <v>0.75964391691394695</v>
      </c>
      <c r="H138">
        <v>337</v>
      </c>
      <c r="I138">
        <v>21.069881305637999</v>
      </c>
      <c r="J138">
        <v>9441840</v>
      </c>
      <c r="K138">
        <v>10605456</v>
      </c>
      <c r="L138">
        <v>20090703.017768301</v>
      </c>
      <c r="M138">
        <v>-9485247.0177683309</v>
      </c>
      <c r="P138">
        <f t="shared" si="4"/>
        <v>13.483001606601263</v>
      </c>
      <c r="Q138">
        <f t="shared" si="5"/>
        <v>7.5868796990367358</v>
      </c>
      <c r="T138" s="2">
        <v>113</v>
      </c>
      <c r="U138" s="2">
        <v>12895353.604400793</v>
      </c>
      <c r="V138" s="2">
        <v>-6777929.2710674629</v>
      </c>
      <c r="W138" s="2">
        <v>-0.92272569970934415</v>
      </c>
    </row>
    <row r="139" spans="1:23" x14ac:dyDescent="0.35">
      <c r="A139" t="s">
        <v>150</v>
      </c>
      <c r="B139">
        <v>10.392523364485999</v>
      </c>
      <c r="C139">
        <v>5.5202492211837999</v>
      </c>
      <c r="D139">
        <v>2.8224299065420602</v>
      </c>
      <c r="E139">
        <v>1.4299065420560699</v>
      </c>
      <c r="F139">
        <v>0.47352024922118402</v>
      </c>
      <c r="G139">
        <v>0.76635514018691597</v>
      </c>
      <c r="H139">
        <v>321</v>
      </c>
      <c r="I139">
        <v>15.5579439252336</v>
      </c>
      <c r="J139">
        <v>2792640</v>
      </c>
      <c r="K139">
        <v>3409635</v>
      </c>
      <c r="L139">
        <v>12980528.057910601</v>
      </c>
      <c r="M139">
        <v>-9570893.0579105709</v>
      </c>
      <c r="P139">
        <f t="shared" si="4"/>
        <v>10.147807139602165</v>
      </c>
      <c r="Q139">
        <f t="shared" si="5"/>
        <v>5.4101367856314351</v>
      </c>
      <c r="T139" s="2">
        <v>114</v>
      </c>
      <c r="U139" s="2">
        <v>981306.30136647169</v>
      </c>
      <c r="V139" s="2">
        <v>236952.03196685831</v>
      </c>
      <c r="W139" s="2">
        <v>3.2257894815673711E-2</v>
      </c>
    </row>
    <row r="140" spans="1:23" x14ac:dyDescent="0.35">
      <c r="A140" t="s">
        <v>151</v>
      </c>
      <c r="B140">
        <v>6.3182795698924696</v>
      </c>
      <c r="C140">
        <v>4.0881720430107498</v>
      </c>
      <c r="D140">
        <v>0.64301075268817198</v>
      </c>
      <c r="E140">
        <v>0.58279569892473104</v>
      </c>
      <c r="F140">
        <v>0.51397849462365597</v>
      </c>
      <c r="G140">
        <v>0.21290322580645199</v>
      </c>
      <c r="H140">
        <v>465</v>
      </c>
      <c r="I140">
        <v>9.0877419354838693</v>
      </c>
      <c r="J140">
        <v>4670160</v>
      </c>
      <c r="K140">
        <v>5043773</v>
      </c>
      <c r="L140">
        <v>4634230.74033002</v>
      </c>
      <c r="M140">
        <v>409542.25966998201</v>
      </c>
      <c r="P140">
        <f t="shared" si="4"/>
        <v>10.90521453146377</v>
      </c>
      <c r="Q140">
        <f t="shared" si="5"/>
        <v>-1.8174725959799005</v>
      </c>
      <c r="T140" s="2">
        <v>115</v>
      </c>
      <c r="U140" s="2">
        <v>14350267.064239224</v>
      </c>
      <c r="V140" s="2">
        <v>-10145003.064239224</v>
      </c>
      <c r="W140" s="2">
        <v>-1.3811084000186531</v>
      </c>
    </row>
    <row r="141" spans="1:23" x14ac:dyDescent="0.35">
      <c r="A141" t="s">
        <v>152</v>
      </c>
      <c r="B141">
        <v>11.669090909090899</v>
      </c>
      <c r="C141">
        <v>3.2581818181818201</v>
      </c>
      <c r="D141">
        <v>3.2909090909090901</v>
      </c>
      <c r="E141">
        <v>2.1672727272727301</v>
      </c>
      <c r="F141">
        <v>0.56363636363636405</v>
      </c>
      <c r="G141">
        <v>1.3127272727272701</v>
      </c>
      <c r="H141">
        <v>275</v>
      </c>
      <c r="I141">
        <v>15.442</v>
      </c>
      <c r="J141">
        <v>6922320</v>
      </c>
      <c r="K141">
        <v>7787595</v>
      </c>
      <c r="L141">
        <v>12830965.1116996</v>
      </c>
      <c r="M141">
        <v>-5043370.1116995597</v>
      </c>
      <c r="P141">
        <f t="shared" si="4"/>
        <v>12.176949883528588</v>
      </c>
      <c r="Q141">
        <f t="shared" si="5"/>
        <v>3.2650501164714125</v>
      </c>
      <c r="T141" s="2">
        <v>116</v>
      </c>
      <c r="U141" s="2">
        <v>6177228.7102640513</v>
      </c>
      <c r="V141" s="2">
        <v>3086320.6230692789</v>
      </c>
      <c r="W141" s="2">
        <v>0.42016185807741135</v>
      </c>
    </row>
    <row r="142" spans="1:23" x14ac:dyDescent="0.35">
      <c r="A142" t="s">
        <v>153</v>
      </c>
      <c r="B142">
        <v>17.7883959044369</v>
      </c>
      <c r="C142">
        <v>4.5767918088737201</v>
      </c>
      <c r="D142">
        <v>4.3242320819112603</v>
      </c>
      <c r="E142">
        <v>1.80204778156997</v>
      </c>
      <c r="F142">
        <v>0.52901023890785004</v>
      </c>
      <c r="G142">
        <v>1.3549488054607499</v>
      </c>
      <c r="H142">
        <v>293</v>
      </c>
      <c r="I142">
        <v>22.309897610921499</v>
      </c>
      <c r="J142">
        <v>4341480</v>
      </c>
      <c r="K142">
        <v>4558640</v>
      </c>
      <c r="L142">
        <v>21690273.599790301</v>
      </c>
      <c r="M142">
        <v>-17131633.599790301</v>
      </c>
      <c r="P142">
        <f t="shared" si="4"/>
        <v>10.680360008629105</v>
      </c>
      <c r="Q142">
        <f t="shared" si="5"/>
        <v>11.629537602292395</v>
      </c>
      <c r="T142" s="2">
        <v>117</v>
      </c>
      <c r="U142" s="2">
        <v>8328327.6756236292</v>
      </c>
      <c r="V142" s="2">
        <v>-2294994.342290299</v>
      </c>
      <c r="W142" s="2">
        <v>-0.31243321900071869</v>
      </c>
    </row>
    <row r="143" spans="1:23" x14ac:dyDescent="0.35">
      <c r="A143" t="s">
        <v>154</v>
      </c>
      <c r="B143">
        <v>3.1021505376344098</v>
      </c>
      <c r="C143">
        <v>1.4032258064516101</v>
      </c>
      <c r="D143">
        <v>0.32795698924731198</v>
      </c>
      <c r="E143">
        <v>0.27956989247311798</v>
      </c>
      <c r="F143">
        <v>0.10752688172043</v>
      </c>
      <c r="G143">
        <v>0.31182795698924698</v>
      </c>
      <c r="H143">
        <v>186</v>
      </c>
      <c r="I143">
        <v>4.0567204301075304</v>
      </c>
      <c r="J143">
        <v>508891</v>
      </c>
      <c r="K143">
        <v>756881</v>
      </c>
      <c r="L143">
        <v>-1855582.30747509</v>
      </c>
      <c r="M143">
        <v>2612463.30747509</v>
      </c>
      <c r="P143">
        <f t="shared" si="4"/>
        <v>8.9182809377817289</v>
      </c>
      <c r="Q143">
        <f t="shared" si="5"/>
        <v>-4.8615605076741986</v>
      </c>
      <c r="T143" s="2">
        <v>118</v>
      </c>
      <c r="U143" s="2">
        <v>3336174.8573417142</v>
      </c>
      <c r="V143" s="2">
        <v>-101034.8573417142</v>
      </c>
      <c r="W143" s="2">
        <v>-1.3754563629576578E-2</v>
      </c>
    </row>
    <row r="144" spans="1:23" x14ac:dyDescent="0.35">
      <c r="A144" t="s">
        <v>155</v>
      </c>
      <c r="B144">
        <v>18.408134642356199</v>
      </c>
      <c r="C144">
        <v>3.7966339410939698</v>
      </c>
      <c r="D144">
        <v>4.8471248246844301</v>
      </c>
      <c r="E144">
        <v>2.0490883590462801</v>
      </c>
      <c r="F144">
        <v>0.36185133239831702</v>
      </c>
      <c r="G144">
        <v>0.99719495091164101</v>
      </c>
      <c r="H144">
        <v>715</v>
      </c>
      <c r="I144">
        <v>22.025035063113599</v>
      </c>
      <c r="J144">
        <v>31650600</v>
      </c>
      <c r="K144">
        <v>33833400</v>
      </c>
      <c r="L144">
        <v>21322812.503148399</v>
      </c>
      <c r="M144">
        <v>12510587.496851601</v>
      </c>
      <c r="P144">
        <f t="shared" si="4"/>
        <v>24.248932319519902</v>
      </c>
      <c r="Q144">
        <f t="shared" si="5"/>
        <v>-2.2238972564063033</v>
      </c>
      <c r="T144" s="2">
        <v>119</v>
      </c>
      <c r="U144" s="2">
        <v>2562567.637910191</v>
      </c>
      <c r="V144" s="2">
        <v>-563127.30457686097</v>
      </c>
      <c r="W144" s="2">
        <v>-7.6662357389764679E-2</v>
      </c>
    </row>
    <row r="145" spans="1:23" x14ac:dyDescent="0.35">
      <c r="A145" t="s">
        <v>156</v>
      </c>
      <c r="B145">
        <v>3.7260273972602702</v>
      </c>
      <c r="C145">
        <v>1.2876712328767099</v>
      </c>
      <c r="D145">
        <v>1.13698630136986</v>
      </c>
      <c r="E145">
        <v>0.54794520547945202</v>
      </c>
      <c r="F145">
        <v>0.219178082191781</v>
      </c>
      <c r="G145">
        <v>0.45205479452054798</v>
      </c>
      <c r="H145">
        <v>73</v>
      </c>
      <c r="I145">
        <v>5.35890410958904</v>
      </c>
      <c r="J145">
        <v>116986</v>
      </c>
      <c r="K145">
        <v>38995.333333333299</v>
      </c>
      <c r="L145">
        <v>-175818.34210403799</v>
      </c>
      <c r="M145">
        <v>214813.675437372</v>
      </c>
      <c r="P145">
        <f t="shared" si="4"/>
        <v>8.5855477717670894</v>
      </c>
      <c r="Q145">
        <f t="shared" si="5"/>
        <v>-3.2266436621780494</v>
      </c>
      <c r="T145" s="2">
        <v>120</v>
      </c>
      <c r="U145" s="2">
        <v>9847013.5443483498</v>
      </c>
      <c r="V145" s="2">
        <v>-4480425.5443483498</v>
      </c>
      <c r="W145" s="2">
        <v>-0.60995086110619012</v>
      </c>
    </row>
    <row r="146" spans="1:23" x14ac:dyDescent="0.35">
      <c r="A146" t="s">
        <v>157</v>
      </c>
      <c r="B146">
        <v>22.8939905469277</v>
      </c>
      <c r="C146">
        <v>5.3463875759621899</v>
      </c>
      <c r="D146">
        <v>6.8744091829844702</v>
      </c>
      <c r="E146">
        <v>3.5388251181634001</v>
      </c>
      <c r="F146">
        <v>0.52869682646860205</v>
      </c>
      <c r="G146">
        <v>1.4537474679270801</v>
      </c>
      <c r="H146">
        <v>1484</v>
      </c>
      <c r="I146">
        <v>28.535043889263999</v>
      </c>
      <c r="J146" s="1">
        <v>33000000</v>
      </c>
      <c r="K146">
        <v>22880000</v>
      </c>
      <c r="L146">
        <v>29720459.020089101</v>
      </c>
      <c r="M146">
        <v>-6840459.0200891001</v>
      </c>
      <c r="P146">
        <f t="shared" si="4"/>
        <v>19.172135790697418</v>
      </c>
      <c r="Q146">
        <f t="shared" si="5"/>
        <v>9.3629080985665816</v>
      </c>
      <c r="T146" s="2">
        <v>121</v>
      </c>
      <c r="U146" s="2">
        <v>11797975.560778903</v>
      </c>
      <c r="V146" s="2">
        <v>-864642.22744560242</v>
      </c>
      <c r="W146" s="2">
        <v>-0.11770963850620689</v>
      </c>
    </row>
    <row r="147" spans="1:23" x14ac:dyDescent="0.35">
      <c r="A147" t="s">
        <v>158</v>
      </c>
      <c r="B147">
        <v>4.8348623853210997</v>
      </c>
      <c r="C147">
        <v>2.2591743119266101</v>
      </c>
      <c r="D147">
        <v>1.3256880733945</v>
      </c>
      <c r="E147">
        <v>0.87385321100917401</v>
      </c>
      <c r="F147">
        <v>0.53822629969419</v>
      </c>
      <c r="G147">
        <v>0.47859327217125402</v>
      </c>
      <c r="H147">
        <v>1310</v>
      </c>
      <c r="I147">
        <v>7.3390672782874598</v>
      </c>
      <c r="J147">
        <v>3841067</v>
      </c>
      <c r="K147">
        <v>1280355.66666667</v>
      </c>
      <c r="L147">
        <v>2378511.5798152299</v>
      </c>
      <c r="M147">
        <v>-1098155.9131485601</v>
      </c>
      <c r="P147">
        <f t="shared" si="4"/>
        <v>9.1609064577718566</v>
      </c>
      <c r="Q147">
        <f t="shared" si="5"/>
        <v>-1.8218391794843969</v>
      </c>
      <c r="T147" s="2">
        <v>122</v>
      </c>
      <c r="U147" s="2">
        <v>-4080700.6830561361</v>
      </c>
      <c r="V147" s="2">
        <v>4837581.6830561366</v>
      </c>
      <c r="W147" s="2">
        <v>0.65857296010055266</v>
      </c>
    </row>
    <row r="148" spans="1:23" x14ac:dyDescent="0.35">
      <c r="A148" t="s">
        <v>159</v>
      </c>
      <c r="B148">
        <v>5.0042553191489398</v>
      </c>
      <c r="C148">
        <v>1.08510638297872</v>
      </c>
      <c r="D148">
        <v>2.07234042553192</v>
      </c>
      <c r="E148">
        <v>0.85106382978723405</v>
      </c>
      <c r="F148">
        <v>0.14042553191489399</v>
      </c>
      <c r="G148">
        <v>0.48085106382978698</v>
      </c>
      <c r="H148">
        <v>235</v>
      </c>
      <c r="I148">
        <v>6.8893617021276601</v>
      </c>
      <c r="J148">
        <v>1674655</v>
      </c>
      <c r="K148">
        <v>558218.33333333302</v>
      </c>
      <c r="L148">
        <v>1798409.68346798</v>
      </c>
      <c r="M148">
        <v>-1240191.35013465</v>
      </c>
      <c r="P148">
        <f t="shared" si="4"/>
        <v>8.8262026847698838</v>
      </c>
      <c r="Q148">
        <f t="shared" si="5"/>
        <v>-1.9368409826422237</v>
      </c>
      <c r="T148" s="2">
        <v>123</v>
      </c>
      <c r="U148" s="2">
        <v>-2230172.0419503078</v>
      </c>
      <c r="V148" s="2">
        <v>4026242.7086169776</v>
      </c>
      <c r="W148" s="2">
        <v>0.54811985665987162</v>
      </c>
    </row>
    <row r="149" spans="1:23" x14ac:dyDescent="0.35">
      <c r="A149" t="s">
        <v>160</v>
      </c>
      <c r="B149">
        <v>3.0869565217391299</v>
      </c>
      <c r="C149">
        <v>1.4239130434782601</v>
      </c>
      <c r="D149">
        <v>0.47826086956521702</v>
      </c>
      <c r="E149">
        <v>0.25</v>
      </c>
      <c r="F149">
        <v>0.173913043478261</v>
      </c>
      <c r="G149">
        <v>0.23913043478260901</v>
      </c>
      <c r="H149">
        <v>92</v>
      </c>
      <c r="I149">
        <v>4.2206521739130398</v>
      </c>
      <c r="J149">
        <v>307089</v>
      </c>
      <c r="K149">
        <v>689613.66666666698</v>
      </c>
      <c r="L149">
        <v>-1644117.0277577201</v>
      </c>
      <c r="M149">
        <v>2333730.6944243899</v>
      </c>
      <c r="P149">
        <f t="shared" si="4"/>
        <v>8.8871031697489897</v>
      </c>
      <c r="Q149">
        <f t="shared" si="5"/>
        <v>-4.6664509958359499</v>
      </c>
      <c r="T149" s="2">
        <v>124</v>
      </c>
      <c r="U149" s="2">
        <v>26436597.623115167</v>
      </c>
      <c r="V149" s="2">
        <v>829882.37688483298</v>
      </c>
      <c r="W149" s="2">
        <v>0.11297754317918869</v>
      </c>
    </row>
    <row r="150" spans="1:23" x14ac:dyDescent="0.35">
      <c r="A150" t="s">
        <v>161</v>
      </c>
      <c r="B150">
        <v>4.5112474437627803</v>
      </c>
      <c r="C150">
        <v>4.8179959100204499</v>
      </c>
      <c r="D150">
        <v>1.1063394683026599</v>
      </c>
      <c r="E150">
        <v>0.77505112474437599</v>
      </c>
      <c r="F150">
        <v>0.34355828220858903</v>
      </c>
      <c r="G150">
        <v>0.832310838445808</v>
      </c>
      <c r="H150">
        <v>491</v>
      </c>
      <c r="I150">
        <v>9.1325153374233103</v>
      </c>
      <c r="J150">
        <v>4374000</v>
      </c>
      <c r="K150">
        <v>3024000</v>
      </c>
      <c r="L150">
        <v>4691986.6071635699</v>
      </c>
      <c r="M150">
        <v>-1667986.6071635699</v>
      </c>
      <c r="P150">
        <f t="shared" si="4"/>
        <v>9.9690689916853117</v>
      </c>
      <c r="Q150">
        <f t="shared" si="5"/>
        <v>-0.83655365426200134</v>
      </c>
      <c r="T150" s="2">
        <v>125</v>
      </c>
      <c r="U150" s="2">
        <v>2307242.5503204577</v>
      </c>
      <c r="V150" s="2">
        <v>-721461.21698712767</v>
      </c>
      <c r="W150" s="2">
        <v>-9.8217431848880724E-2</v>
      </c>
    </row>
    <row r="151" spans="1:23" x14ac:dyDescent="0.35">
      <c r="A151" t="s">
        <v>162</v>
      </c>
      <c r="B151">
        <v>12.3130434782609</v>
      </c>
      <c r="C151">
        <v>8.73623188405797</v>
      </c>
      <c r="D151">
        <v>1.60869565217391</v>
      </c>
      <c r="E151">
        <v>1.3</v>
      </c>
      <c r="F151">
        <v>1.16231884057971</v>
      </c>
      <c r="G151">
        <v>0.672463768115942</v>
      </c>
      <c r="H151">
        <v>691</v>
      </c>
      <c r="I151">
        <v>19.017246376811599</v>
      </c>
      <c r="J151" s="1">
        <v>20000000</v>
      </c>
      <c r="K151" s="1">
        <v>20000000</v>
      </c>
      <c r="L151">
        <v>17442887.473898701</v>
      </c>
      <c r="M151">
        <v>2557112.5261013201</v>
      </c>
      <c r="P151">
        <f t="shared" si="4"/>
        <v>17.837283233225882</v>
      </c>
      <c r="Q151">
        <f t="shared" si="5"/>
        <v>1.1799631435857165</v>
      </c>
      <c r="T151" s="2">
        <v>126</v>
      </c>
      <c r="U151" s="2">
        <v>1425481.2037592158</v>
      </c>
      <c r="V151" s="2">
        <v>160300.12957411422</v>
      </c>
      <c r="W151" s="2">
        <v>2.1822749000371039E-2</v>
      </c>
    </row>
    <row r="152" spans="1:23" x14ac:dyDescent="0.35">
      <c r="A152" t="s">
        <v>163</v>
      </c>
      <c r="B152">
        <v>4.6046511627906996</v>
      </c>
      <c r="C152">
        <v>2.5093023255814</v>
      </c>
      <c r="D152">
        <v>0.59302325581395399</v>
      </c>
      <c r="E152">
        <v>0.44418604651162802</v>
      </c>
      <c r="F152">
        <v>0.31162790697674397</v>
      </c>
      <c r="G152">
        <v>0.753488372093023</v>
      </c>
      <c r="H152">
        <v>430</v>
      </c>
      <c r="I152">
        <v>6.8969767441860501</v>
      </c>
      <c r="J152">
        <v>1815677</v>
      </c>
      <c r="K152">
        <v>605225.66666666698</v>
      </c>
      <c r="L152">
        <v>1808232.7778946899</v>
      </c>
      <c r="M152">
        <v>-1203007.1112280199</v>
      </c>
      <c r="P152">
        <f t="shared" si="4"/>
        <v>8.8479901358531876</v>
      </c>
      <c r="Q152">
        <f t="shared" si="5"/>
        <v>-1.9510133916671375</v>
      </c>
      <c r="T152" s="2">
        <v>127</v>
      </c>
      <c r="U152" s="2">
        <v>14524925.867257325</v>
      </c>
      <c r="V152" s="2">
        <v>-6910285.867257325</v>
      </c>
      <c r="W152" s="2">
        <v>-0.94074430508956874</v>
      </c>
    </row>
    <row r="153" spans="1:23" x14ac:dyDescent="0.35">
      <c r="A153" t="s">
        <v>164</v>
      </c>
      <c r="B153">
        <v>5.4797794117647101</v>
      </c>
      <c r="C153">
        <v>3.2647058823529398</v>
      </c>
      <c r="D153">
        <v>0.61580882352941202</v>
      </c>
      <c r="E153">
        <v>0.56985294117647101</v>
      </c>
      <c r="F153">
        <v>0.55330882352941202</v>
      </c>
      <c r="G153">
        <v>0.36764705882352899</v>
      </c>
      <c r="H153">
        <v>544</v>
      </c>
      <c r="I153">
        <v>7.9734375000000002</v>
      </c>
      <c r="J153">
        <v>6803012</v>
      </c>
      <c r="K153">
        <v>5324490.6666666698</v>
      </c>
      <c r="L153">
        <v>3196823.3555867202</v>
      </c>
      <c r="M153">
        <v>2127667.3110799501</v>
      </c>
      <c r="P153">
        <f t="shared" si="4"/>
        <v>11.035324495101772</v>
      </c>
      <c r="Q153">
        <f t="shared" si="5"/>
        <v>-3.061886995101772</v>
      </c>
      <c r="T153" s="2">
        <v>128</v>
      </c>
      <c r="U153" s="2">
        <v>11008397.804402241</v>
      </c>
      <c r="V153" s="2">
        <v>-7049756.8044022415</v>
      </c>
      <c r="W153" s="2">
        <v>-0.95973143418451323</v>
      </c>
    </row>
    <row r="154" spans="1:23" x14ac:dyDescent="0.35">
      <c r="A154" t="s">
        <v>165</v>
      </c>
      <c r="B154">
        <v>4.6591928251121102</v>
      </c>
      <c r="C154">
        <v>1.847533632287</v>
      </c>
      <c r="D154">
        <v>0.57399103139013496</v>
      </c>
      <c r="E154">
        <v>0.46636771300448399</v>
      </c>
      <c r="F154">
        <v>0.816143497757848</v>
      </c>
      <c r="G154">
        <v>0.21524663677129999</v>
      </c>
      <c r="H154">
        <v>223</v>
      </c>
      <c r="I154">
        <v>6.3446188340807197</v>
      </c>
      <c r="J154">
        <v>116986</v>
      </c>
      <c r="K154">
        <v>38995.333333333299</v>
      </c>
      <c r="L154">
        <v>1095713.54731116</v>
      </c>
      <c r="M154">
        <v>-1056718.21397783</v>
      </c>
      <c r="P154">
        <f t="shared" si="4"/>
        <v>8.5855477717670894</v>
      </c>
      <c r="Q154">
        <f t="shared" si="5"/>
        <v>-2.2409289376863697</v>
      </c>
      <c r="T154" s="2">
        <v>129</v>
      </c>
      <c r="U154" s="2">
        <v>-3938610.9647746766</v>
      </c>
      <c r="V154" s="2">
        <v>6728545.2981080068</v>
      </c>
      <c r="W154" s="2">
        <v>0.91600272294445606</v>
      </c>
    </row>
    <row r="155" spans="1:23" x14ac:dyDescent="0.35">
      <c r="A155" t="s">
        <v>166</v>
      </c>
      <c r="B155">
        <v>18.7126030624264</v>
      </c>
      <c r="C155">
        <v>5.2143698468786797</v>
      </c>
      <c r="D155">
        <v>2.6124852767962299</v>
      </c>
      <c r="E155">
        <v>2.1601884570082399</v>
      </c>
      <c r="F155">
        <v>0.36749116607773902</v>
      </c>
      <c r="G155">
        <v>0.96937573616018802</v>
      </c>
      <c r="H155">
        <v>851</v>
      </c>
      <c r="I155">
        <v>21.075206124852802</v>
      </c>
      <c r="J155">
        <v>29776785</v>
      </c>
      <c r="K155">
        <v>20535714</v>
      </c>
      <c r="L155">
        <v>20097571.817907698</v>
      </c>
      <c r="M155">
        <v>438142.18209229398</v>
      </c>
      <c r="P155">
        <f t="shared" si="4"/>
        <v>18.085581567591614</v>
      </c>
      <c r="Q155">
        <f t="shared" si="5"/>
        <v>2.9896245572611875</v>
      </c>
      <c r="T155" s="2">
        <v>130</v>
      </c>
      <c r="U155" s="2">
        <v>8032309.7659321725</v>
      </c>
      <c r="V155" s="2">
        <v>-4637709.7659321725</v>
      </c>
      <c r="W155" s="2">
        <v>-0.63136303400000904</v>
      </c>
    </row>
    <row r="156" spans="1:23" x14ac:dyDescent="0.35">
      <c r="A156" t="s">
        <v>167</v>
      </c>
      <c r="B156">
        <v>4.4306049822064102</v>
      </c>
      <c r="C156">
        <v>3.7580071174377201</v>
      </c>
      <c r="D156">
        <v>1.6227758007117401</v>
      </c>
      <c r="E156">
        <v>0.60142348754448405</v>
      </c>
      <c r="F156">
        <v>0.38790035587188598</v>
      </c>
      <c r="G156">
        <v>0.41637010676156599</v>
      </c>
      <c r="H156">
        <v>281</v>
      </c>
      <c r="I156">
        <v>8.45569395017794</v>
      </c>
      <c r="J156" s="1">
        <v>2000000</v>
      </c>
      <c r="K156">
        <v>2006566.33333333</v>
      </c>
      <c r="L156">
        <v>3818914.55503962</v>
      </c>
      <c r="M156">
        <v>-1812348.22170629</v>
      </c>
      <c r="P156">
        <f t="shared" si="4"/>
        <v>9.4974981819604327</v>
      </c>
      <c r="Q156">
        <f t="shared" si="5"/>
        <v>-1.0418042317824927</v>
      </c>
      <c r="T156" s="2">
        <v>131</v>
      </c>
      <c r="U156" s="2">
        <v>4952536.521229146</v>
      </c>
      <c r="V156" s="2">
        <v>1924274.8121041842</v>
      </c>
      <c r="W156" s="2">
        <v>0.2619646430970004</v>
      </c>
    </row>
    <row r="157" spans="1:23" x14ac:dyDescent="0.35">
      <c r="A157" t="s">
        <v>168</v>
      </c>
      <c r="B157">
        <v>22.586297760210801</v>
      </c>
      <c r="C157">
        <v>7.1923583662714101</v>
      </c>
      <c r="D157">
        <v>3.84716732542819</v>
      </c>
      <c r="E157">
        <v>2.3728590250329402</v>
      </c>
      <c r="F157">
        <v>0.66007905138339895</v>
      </c>
      <c r="G157">
        <v>1.0790513833992099</v>
      </c>
      <c r="H157">
        <v>761</v>
      </c>
      <c r="I157">
        <v>27.093478260869599</v>
      </c>
      <c r="J157">
        <v>30351780</v>
      </c>
      <c r="K157">
        <v>32600060</v>
      </c>
      <c r="L157">
        <v>27860898.0115695</v>
      </c>
      <c r="M157">
        <v>4739161.9884305401</v>
      </c>
      <c r="P157">
        <f t="shared" si="4"/>
        <v>23.677290981592144</v>
      </c>
      <c r="Q157">
        <f t="shared" si="5"/>
        <v>3.4161872792774552</v>
      </c>
      <c r="T157" s="2">
        <v>132</v>
      </c>
      <c r="U157" s="2">
        <v>4897364.8905230295</v>
      </c>
      <c r="V157" s="2">
        <v>-1697284.8905230295</v>
      </c>
      <c r="W157" s="2">
        <v>-0.23106295825469847</v>
      </c>
    </row>
    <row r="158" spans="1:23" x14ac:dyDescent="0.35">
      <c r="A158" t="s">
        <v>169</v>
      </c>
      <c r="B158">
        <v>10.5470473718365</v>
      </c>
      <c r="C158">
        <v>3.59377027903958</v>
      </c>
      <c r="D158">
        <v>1.3212199870214101</v>
      </c>
      <c r="E158">
        <v>1.1804023361453599</v>
      </c>
      <c r="F158">
        <v>0.44256975989617098</v>
      </c>
      <c r="G158">
        <v>0.57040882543802696</v>
      </c>
      <c r="H158">
        <v>1543</v>
      </c>
      <c r="I158">
        <v>12.529299156392</v>
      </c>
      <c r="J158">
        <v>4500000</v>
      </c>
      <c r="K158">
        <v>1500000</v>
      </c>
      <c r="L158">
        <v>9073699.5307434704</v>
      </c>
      <c r="M158">
        <v>-7573699.5307434704</v>
      </c>
      <c r="P158">
        <f t="shared" si="4"/>
        <v>9.2627095133566222</v>
      </c>
      <c r="Q158">
        <f t="shared" si="5"/>
        <v>3.2665896430353776</v>
      </c>
      <c r="T158" s="2">
        <v>133</v>
      </c>
      <c r="U158" s="2">
        <v>10887847.201174172</v>
      </c>
      <c r="V158" s="2">
        <v>-7755131.2011741716</v>
      </c>
      <c r="W158" s="2">
        <v>-1.0557588575742427</v>
      </c>
    </row>
    <row r="159" spans="1:23" x14ac:dyDescent="0.35">
      <c r="A159" t="s">
        <v>170</v>
      </c>
      <c r="B159">
        <v>12.0821467688938</v>
      </c>
      <c r="C159">
        <v>3.5498357064622099</v>
      </c>
      <c r="D159">
        <v>1.4622124863088699</v>
      </c>
      <c r="E159">
        <v>1.1916757940854299</v>
      </c>
      <c r="F159">
        <v>0.92113910186199299</v>
      </c>
      <c r="G159">
        <v>0.61445783132530096</v>
      </c>
      <c r="H159">
        <v>916</v>
      </c>
      <c r="I159">
        <v>14.303450164293499</v>
      </c>
      <c r="J159">
        <v>20955000</v>
      </c>
      <c r="K159">
        <v>6985000</v>
      </c>
      <c r="L159">
        <v>11362282.147127099</v>
      </c>
      <c r="M159">
        <v>-4377282.14712705</v>
      </c>
      <c r="P159">
        <f t="shared" si="4"/>
        <v>11.804954748680021</v>
      </c>
      <c r="Q159">
        <f t="shared" si="5"/>
        <v>2.498495415613478</v>
      </c>
      <c r="T159" s="2">
        <v>134</v>
      </c>
      <c r="U159" s="2">
        <v>20386249.192795396</v>
      </c>
      <c r="V159" s="2">
        <v>5960417.1405379027</v>
      </c>
      <c r="W159" s="2">
        <v>0.81143220246325043</v>
      </c>
    </row>
    <row r="160" spans="1:23" x14ac:dyDescent="0.35">
      <c r="A160" t="s">
        <v>171</v>
      </c>
      <c r="B160">
        <v>4.5409836065573801</v>
      </c>
      <c r="C160">
        <v>3.2983606557376999</v>
      </c>
      <c r="D160">
        <v>0.77704918032786896</v>
      </c>
      <c r="E160">
        <v>0.485245901639344</v>
      </c>
      <c r="F160">
        <v>0.127868852459016</v>
      </c>
      <c r="G160">
        <v>0.40655737704917999</v>
      </c>
      <c r="H160">
        <v>305</v>
      </c>
      <c r="I160">
        <v>7.1132786885245904</v>
      </c>
      <c r="J160" s="1">
        <v>2000000</v>
      </c>
      <c r="K160">
        <v>1962866</v>
      </c>
      <c r="L160">
        <v>2087253.48554497</v>
      </c>
      <c r="M160">
        <v>-124387.485544974</v>
      </c>
      <c r="P160">
        <f t="shared" si="4"/>
        <v>9.4772434938658652</v>
      </c>
      <c r="Q160">
        <f t="shared" si="5"/>
        <v>-2.3639648053412747</v>
      </c>
      <c r="T160" s="2">
        <v>135</v>
      </c>
      <c r="U160" s="2">
        <v>16875835.556050763</v>
      </c>
      <c r="V160" s="2">
        <v>-12545235.556050763</v>
      </c>
      <c r="W160" s="2">
        <v>-1.7078684054565825</v>
      </c>
    </row>
    <row r="161" spans="1:23" x14ac:dyDescent="0.35">
      <c r="A161" t="s">
        <v>172</v>
      </c>
      <c r="B161">
        <v>9.4773662551440303</v>
      </c>
      <c r="C161">
        <v>5.2222222222222197</v>
      </c>
      <c r="D161">
        <v>2.3456790123456801</v>
      </c>
      <c r="E161">
        <v>1.44855967078189</v>
      </c>
      <c r="F161">
        <v>0.41152263374485598</v>
      </c>
      <c r="G161">
        <v>0.72016460905349799</v>
      </c>
      <c r="H161">
        <v>243</v>
      </c>
      <c r="I161">
        <v>14.0388888888889</v>
      </c>
      <c r="J161">
        <v>5063520</v>
      </c>
      <c r="K161">
        <v>5316840</v>
      </c>
      <c r="L161">
        <v>11021008.865899701</v>
      </c>
      <c r="M161">
        <v>-5704168.8658997202</v>
      </c>
      <c r="P161">
        <f t="shared" si="4"/>
        <v>11.031778484002341</v>
      </c>
      <c r="Q161">
        <f t="shared" si="5"/>
        <v>3.0071104048865589</v>
      </c>
      <c r="T161" s="2">
        <v>136</v>
      </c>
      <c r="U161" s="2">
        <v>20090583.744412534</v>
      </c>
      <c r="V161" s="2">
        <v>-9485127.7444125339</v>
      </c>
      <c r="W161" s="2">
        <v>-1.2912750760258642</v>
      </c>
    </row>
    <row r="162" spans="1:23" x14ac:dyDescent="0.35">
      <c r="A162" t="s">
        <v>173</v>
      </c>
      <c r="B162">
        <v>1.61240310077519</v>
      </c>
      <c r="C162">
        <v>2.58914728682171</v>
      </c>
      <c r="D162">
        <v>0.38501291989664099</v>
      </c>
      <c r="E162">
        <v>0.37467700258397901</v>
      </c>
      <c r="F162">
        <v>0.27131782945736399</v>
      </c>
      <c r="G162">
        <v>0.14728682170542601</v>
      </c>
      <c r="H162">
        <v>387</v>
      </c>
      <c r="I162">
        <v>3.8968992248062002</v>
      </c>
      <c r="J162">
        <v>1639842</v>
      </c>
      <c r="K162">
        <v>1886694</v>
      </c>
      <c r="L162">
        <v>-2061745.15976504</v>
      </c>
      <c r="M162">
        <v>3948439.15976504</v>
      </c>
      <c r="P162">
        <f t="shared" si="4"/>
        <v>9.4419384976826297</v>
      </c>
      <c r="Q162">
        <f t="shared" si="5"/>
        <v>-5.5450392728764299</v>
      </c>
      <c r="T162" s="2">
        <v>137</v>
      </c>
      <c r="U162" s="2">
        <v>12982616.074269628</v>
      </c>
      <c r="V162" s="2">
        <v>-9572981.0742696282</v>
      </c>
      <c r="W162" s="2">
        <v>-1.3032351484937519</v>
      </c>
    </row>
    <row r="163" spans="1:23" x14ac:dyDescent="0.35">
      <c r="A163" t="s">
        <v>174</v>
      </c>
      <c r="B163">
        <v>4.0153609831029202</v>
      </c>
      <c r="C163">
        <v>1.2104454685099799</v>
      </c>
      <c r="D163">
        <v>1.1797235023041499</v>
      </c>
      <c r="E163">
        <v>0.453149001536098</v>
      </c>
      <c r="F163">
        <v>0.16743471582181299</v>
      </c>
      <c r="G163">
        <v>0.463901689708141</v>
      </c>
      <c r="H163">
        <v>654</v>
      </c>
      <c r="I163">
        <v>5.5643625192012296</v>
      </c>
      <c r="J163">
        <v>6025000</v>
      </c>
      <c r="K163">
        <v>2754981</v>
      </c>
      <c r="L163">
        <v>89214.646933585405</v>
      </c>
      <c r="M163">
        <v>2665766.3530664099</v>
      </c>
      <c r="P163">
        <f t="shared" si="4"/>
        <v>9.8443812485747433</v>
      </c>
      <c r="Q163">
        <f t="shared" si="5"/>
        <v>-4.2800187293735137</v>
      </c>
      <c r="T163" s="2">
        <v>138</v>
      </c>
      <c r="U163" s="2">
        <v>4638909.7894458324</v>
      </c>
      <c r="V163" s="2">
        <v>404863.21055416763</v>
      </c>
      <c r="W163" s="2">
        <v>5.5116787783524739E-2</v>
      </c>
    </row>
    <row r="164" spans="1:23" x14ac:dyDescent="0.35">
      <c r="A164" t="s">
        <v>175</v>
      </c>
      <c r="B164">
        <v>4.8218829516539401</v>
      </c>
      <c r="C164">
        <v>2.8575063613231602</v>
      </c>
      <c r="D164">
        <v>0.79898218829516499</v>
      </c>
      <c r="E164">
        <v>0.54707379134860001</v>
      </c>
      <c r="F164">
        <v>0.315521628498728</v>
      </c>
      <c r="G164">
        <v>0.24681933842239201</v>
      </c>
      <c r="H164">
        <v>393</v>
      </c>
      <c r="I164">
        <v>6.9902035623409704</v>
      </c>
      <c r="J164">
        <v>1563518</v>
      </c>
      <c r="K164">
        <v>521172.66666666698</v>
      </c>
      <c r="L164">
        <v>1928491.5802513501</v>
      </c>
      <c r="M164">
        <v>-1407318.9135846801</v>
      </c>
      <c r="P164">
        <f t="shared" si="4"/>
        <v>8.8090323712652872</v>
      </c>
      <c r="Q164">
        <f t="shared" si="5"/>
        <v>-1.8188288089243168</v>
      </c>
      <c r="T164" s="2">
        <v>139</v>
      </c>
      <c r="U164" s="2">
        <v>12833099.55852695</v>
      </c>
      <c r="V164" s="2">
        <v>-5045504.55852695</v>
      </c>
      <c r="W164" s="2">
        <v>-0.68687891802391854</v>
      </c>
    </row>
    <row r="165" spans="1:23" x14ac:dyDescent="0.35">
      <c r="A165" t="s">
        <v>176</v>
      </c>
      <c r="B165">
        <v>6.6760710553814002</v>
      </c>
      <c r="C165">
        <v>2.5841170323928901</v>
      </c>
      <c r="D165">
        <v>3.01462904911181</v>
      </c>
      <c r="E165">
        <v>1.2330198537095101</v>
      </c>
      <c r="F165">
        <v>0.12225705329153599</v>
      </c>
      <c r="G165">
        <v>0.74921630094043901</v>
      </c>
      <c r="H165">
        <v>959</v>
      </c>
      <c r="I165">
        <v>10.343939393939401</v>
      </c>
      <c r="J165">
        <v>6479000</v>
      </c>
      <c r="K165">
        <v>2159666.6666666698</v>
      </c>
      <c r="L165">
        <v>6254674.3515911195</v>
      </c>
      <c r="M165">
        <v>-4095007.6849244498</v>
      </c>
      <c r="P165">
        <f t="shared" si="4"/>
        <v>9.5684587276200705</v>
      </c>
      <c r="Q165">
        <f t="shared" si="5"/>
        <v>0.77548066631933033</v>
      </c>
      <c r="T165" s="2">
        <v>140</v>
      </c>
      <c r="U165" s="2">
        <v>21689657.75416816</v>
      </c>
      <c r="V165" s="2">
        <v>-17131017.75416816</v>
      </c>
      <c r="W165" s="2">
        <v>-2.3321621857907817</v>
      </c>
    </row>
    <row r="166" spans="1:23" x14ac:dyDescent="0.35">
      <c r="A166" t="s">
        <v>177</v>
      </c>
      <c r="B166">
        <v>23.546728971962601</v>
      </c>
      <c r="C166">
        <v>9.3333333333333304</v>
      </c>
      <c r="D166">
        <v>3.10903426791277</v>
      </c>
      <c r="E166">
        <v>2.9672897196261698</v>
      </c>
      <c r="F166">
        <v>1.3831775700934601</v>
      </c>
      <c r="G166">
        <v>0.76635514018691597</v>
      </c>
      <c r="H166">
        <v>644</v>
      </c>
      <c r="I166">
        <v>28.9016355140187</v>
      </c>
      <c r="J166">
        <v>33616770</v>
      </c>
      <c r="K166">
        <v>43722923.333333299</v>
      </c>
      <c r="L166">
        <v>30193347.300730798</v>
      </c>
      <c r="M166">
        <v>13529576.0326025</v>
      </c>
      <c r="P166">
        <f t="shared" si="4"/>
        <v>28.832632150656853</v>
      </c>
      <c r="Q166">
        <f t="shared" si="5"/>
        <v>6.9003363361847647E-2</v>
      </c>
      <c r="T166" s="2">
        <v>141</v>
      </c>
      <c r="U166" s="2">
        <v>-1848888.5544070983</v>
      </c>
      <c r="V166" s="2">
        <v>2605769.5544070983</v>
      </c>
      <c r="W166" s="2">
        <v>0.35474116639652142</v>
      </c>
    </row>
    <row r="167" spans="1:23" x14ac:dyDescent="0.35">
      <c r="A167" t="s">
        <v>178</v>
      </c>
      <c r="B167">
        <v>14.8963210702341</v>
      </c>
      <c r="C167">
        <v>7.4431438127090299</v>
      </c>
      <c r="D167">
        <v>1.3428093645485</v>
      </c>
      <c r="E167">
        <v>1.4615384615384599</v>
      </c>
      <c r="F167">
        <v>0.92307692307692302</v>
      </c>
      <c r="G167">
        <v>0.59866220735786002</v>
      </c>
      <c r="H167">
        <v>601</v>
      </c>
      <c r="I167">
        <v>19.2605351170569</v>
      </c>
      <c r="J167">
        <v>23500000</v>
      </c>
      <c r="K167">
        <v>25140000</v>
      </c>
      <c r="L167">
        <v>17756720.050273199</v>
      </c>
      <c r="M167">
        <v>7383279.9497268302</v>
      </c>
      <c r="P167">
        <f t="shared" si="4"/>
        <v>20.2196242559355</v>
      </c>
      <c r="Q167">
        <f t="shared" si="5"/>
        <v>-0.95908913887859981</v>
      </c>
      <c r="T167" s="2">
        <v>142</v>
      </c>
      <c r="U167" s="2">
        <v>21322310.732510865</v>
      </c>
      <c r="V167" s="2">
        <v>12511089.267489135</v>
      </c>
      <c r="W167" s="2">
        <v>1.7032198385056112</v>
      </c>
    </row>
    <row r="168" spans="1:23" x14ac:dyDescent="0.35">
      <c r="A168" t="s">
        <v>179</v>
      </c>
      <c r="B168">
        <v>3.08946322067594</v>
      </c>
      <c r="C168">
        <v>2.9721669980119301</v>
      </c>
      <c r="D168">
        <v>1.04572564612326</v>
      </c>
      <c r="E168">
        <v>0.38966202783300202</v>
      </c>
      <c r="F168">
        <v>0.3220675944334</v>
      </c>
      <c r="G168">
        <v>0.60636182902584501</v>
      </c>
      <c r="H168">
        <v>503</v>
      </c>
      <c r="I168">
        <v>6.4741550695825101</v>
      </c>
      <c r="J168">
        <v>2300000</v>
      </c>
      <c r="K168">
        <v>3621666.6666666698</v>
      </c>
      <c r="L168">
        <v>1262810.0207459701</v>
      </c>
      <c r="M168">
        <v>2358856.6459206999</v>
      </c>
      <c r="P168">
        <f t="shared" si="4"/>
        <v>10.246081796725413</v>
      </c>
      <c r="Q168">
        <f t="shared" si="5"/>
        <v>-3.7719267271429029</v>
      </c>
      <c r="T168" s="2">
        <v>143</v>
      </c>
      <c r="U168" s="2">
        <v>-169646.05661529303</v>
      </c>
      <c r="V168" s="2">
        <v>208641.38994862634</v>
      </c>
      <c r="W168" s="2">
        <v>2.8403774195530428E-2</v>
      </c>
    </row>
    <row r="169" spans="1:23" x14ac:dyDescent="0.35">
      <c r="A169" t="s">
        <v>180</v>
      </c>
      <c r="B169">
        <v>4.8134715025906702</v>
      </c>
      <c r="C169">
        <v>1.53886010362694</v>
      </c>
      <c r="D169">
        <v>0.56476683937823802</v>
      </c>
      <c r="E169">
        <v>0.33678756476683902</v>
      </c>
      <c r="F169">
        <v>8.8082901554404097E-2</v>
      </c>
      <c r="G169">
        <v>0.29015544041450803</v>
      </c>
      <c r="H169">
        <v>193</v>
      </c>
      <c r="I169">
        <v>5.61580310880829</v>
      </c>
      <c r="J169">
        <v>508891</v>
      </c>
      <c r="K169">
        <v>756881</v>
      </c>
      <c r="L169">
        <v>155570.914594528</v>
      </c>
      <c r="M169">
        <v>601310.08540547197</v>
      </c>
      <c r="P169">
        <f t="shared" si="4"/>
        <v>8.9182809377817289</v>
      </c>
      <c r="Q169">
        <f t="shared" si="5"/>
        <v>-3.3024778289734389</v>
      </c>
      <c r="T169" s="2">
        <v>144</v>
      </c>
      <c r="U169" s="2">
        <v>29717350.275798835</v>
      </c>
      <c r="V169" s="2">
        <v>-6837350.2757988349</v>
      </c>
      <c r="W169" s="2">
        <v>-0.93081508600645912</v>
      </c>
    </row>
    <row r="170" spans="1:23" x14ac:dyDescent="0.35">
      <c r="A170" t="s">
        <v>181</v>
      </c>
      <c r="B170">
        <v>12.5220848056537</v>
      </c>
      <c r="C170">
        <v>8.9010600706713792</v>
      </c>
      <c r="D170">
        <v>1.34010600706714</v>
      </c>
      <c r="E170">
        <v>1.6060070671378099</v>
      </c>
      <c r="F170">
        <v>0.89752650176678495</v>
      </c>
      <c r="G170">
        <v>0.393992932862191</v>
      </c>
      <c r="H170">
        <v>1134</v>
      </c>
      <c r="I170">
        <v>18.341033568904599</v>
      </c>
      <c r="J170">
        <v>14700000</v>
      </c>
      <c r="K170">
        <v>10045000</v>
      </c>
      <c r="L170">
        <v>16570600.4643603</v>
      </c>
      <c r="M170">
        <v>-6525600.4643603396</v>
      </c>
      <c r="P170">
        <f t="shared" si="4"/>
        <v>13.223235590993532</v>
      </c>
      <c r="Q170">
        <f t="shared" si="5"/>
        <v>5.1177979779110672</v>
      </c>
      <c r="T170" s="2">
        <v>145</v>
      </c>
      <c r="U170" s="2">
        <v>2383890.8966081236</v>
      </c>
      <c r="V170" s="2">
        <v>-1103535.2299414536</v>
      </c>
      <c r="W170" s="2">
        <v>-0.15023177086669023</v>
      </c>
    </row>
    <row r="171" spans="1:23" x14ac:dyDescent="0.35">
      <c r="A171" t="s">
        <v>182</v>
      </c>
      <c r="B171">
        <v>6.1102941176470598</v>
      </c>
      <c r="C171">
        <v>4.0245098039215703</v>
      </c>
      <c r="D171">
        <v>0.65931372549019596</v>
      </c>
      <c r="E171">
        <v>0.64460784313725505</v>
      </c>
      <c r="F171">
        <v>1.0563725490196101</v>
      </c>
      <c r="G171">
        <v>0.77205882352941202</v>
      </c>
      <c r="H171">
        <v>409</v>
      </c>
      <c r="I171">
        <v>9.9677696078431399</v>
      </c>
      <c r="J171">
        <v>17400000</v>
      </c>
      <c r="K171">
        <v>17400000</v>
      </c>
      <c r="L171">
        <v>5769430.6325196102</v>
      </c>
      <c r="M171">
        <v>11630569.367480399</v>
      </c>
      <c r="P171">
        <f t="shared" si="4"/>
        <v>16.632208007730743</v>
      </c>
      <c r="Q171">
        <f t="shared" si="5"/>
        <v>-6.6644383998876027</v>
      </c>
      <c r="T171" s="2">
        <v>146</v>
      </c>
      <c r="U171" s="2">
        <v>1803969.0876647271</v>
      </c>
      <c r="V171" s="2">
        <v>-1245750.7543313941</v>
      </c>
      <c r="W171" s="2">
        <v>-0.16959253932622481</v>
      </c>
    </row>
    <row r="172" spans="1:23" x14ac:dyDescent="0.35">
      <c r="A172" t="s">
        <v>183</v>
      </c>
      <c r="B172">
        <v>10.360103626942999</v>
      </c>
      <c r="C172">
        <v>3.4119170984456</v>
      </c>
      <c r="D172">
        <v>1.5129533678756499</v>
      </c>
      <c r="E172">
        <v>1.2590673575129501</v>
      </c>
      <c r="F172">
        <v>0.329015544041451</v>
      </c>
      <c r="G172">
        <v>0.49740932642487001</v>
      </c>
      <c r="H172">
        <v>386</v>
      </c>
      <c r="I172">
        <v>12.209455958549199</v>
      </c>
      <c r="J172">
        <v>5739840</v>
      </c>
      <c r="K172">
        <v>6462995.6666666698</v>
      </c>
      <c r="L172">
        <v>8661114.8187931608</v>
      </c>
      <c r="M172">
        <v>-2198119.1521264999</v>
      </c>
      <c r="P172">
        <f t="shared" si="4"/>
        <v>11.563010714179597</v>
      </c>
      <c r="Q172">
        <f t="shared" si="5"/>
        <v>0.64644524436960182</v>
      </c>
      <c r="T172" s="2">
        <v>147</v>
      </c>
      <c r="U172" s="2">
        <v>-1637488.9221793786</v>
      </c>
      <c r="V172" s="2">
        <v>2327102.5888460455</v>
      </c>
      <c r="W172" s="2">
        <v>0.31680433340524028</v>
      </c>
    </row>
    <row r="173" spans="1:23" x14ac:dyDescent="0.35">
      <c r="A173" t="s">
        <v>184</v>
      </c>
      <c r="B173">
        <v>14.441269841269801</v>
      </c>
      <c r="C173">
        <v>3.0423280423280401</v>
      </c>
      <c r="D173">
        <v>2.5619047619047599</v>
      </c>
      <c r="E173">
        <v>1.6994708994709</v>
      </c>
      <c r="F173">
        <v>0.14603174603174601</v>
      </c>
      <c r="G173">
        <v>0.74074074074074103</v>
      </c>
      <c r="H173">
        <v>946</v>
      </c>
      <c r="I173">
        <v>15.8637566137566</v>
      </c>
      <c r="J173">
        <v>13340000</v>
      </c>
      <c r="K173">
        <v>9200000</v>
      </c>
      <c r="L173">
        <v>13375013.9836892</v>
      </c>
      <c r="M173">
        <v>-4175013.9836892299</v>
      </c>
      <c r="P173">
        <f t="shared" si="4"/>
        <v>12.831586142707611</v>
      </c>
      <c r="Q173">
        <f t="shared" si="5"/>
        <v>3.032170471048989</v>
      </c>
      <c r="T173" s="2">
        <v>148</v>
      </c>
      <c r="U173" s="2">
        <v>4696647.726491211</v>
      </c>
      <c r="V173" s="2">
        <v>-1672647.726491211</v>
      </c>
      <c r="W173" s="2">
        <v>-0.22770893322567462</v>
      </c>
    </row>
    <row r="174" spans="1:23" x14ac:dyDescent="0.35">
      <c r="A174" t="s">
        <v>185</v>
      </c>
      <c r="B174">
        <v>5.7222222222222197</v>
      </c>
      <c r="C174">
        <v>3.3571428571428599</v>
      </c>
      <c r="D174">
        <v>1.96428571428571</v>
      </c>
      <c r="E174">
        <v>0.80952380952380998</v>
      </c>
      <c r="F174">
        <v>0.273809523809524</v>
      </c>
      <c r="G174">
        <v>0.90079365079365104</v>
      </c>
      <c r="H174">
        <v>252</v>
      </c>
      <c r="I174">
        <v>9.7115079365079406</v>
      </c>
      <c r="J174">
        <v>1280206</v>
      </c>
      <c r="K174">
        <v>1766815.33333333</v>
      </c>
      <c r="L174">
        <v>5438863.5028608898</v>
      </c>
      <c r="M174">
        <v>-3672048.16952756</v>
      </c>
      <c r="P174">
        <f t="shared" si="4"/>
        <v>9.38637587796517</v>
      </c>
      <c r="Q174">
        <f t="shared" si="5"/>
        <v>0.32513205854277061</v>
      </c>
      <c r="T174" s="2">
        <v>149</v>
      </c>
      <c r="U174" s="2">
        <v>17443590.191007234</v>
      </c>
      <c r="V174" s="2">
        <v>2556409.8089927658</v>
      </c>
      <c r="W174" s="2">
        <v>0.34802148789244902</v>
      </c>
    </row>
    <row r="175" spans="1:23" x14ac:dyDescent="0.35">
      <c r="A175" t="s">
        <v>186</v>
      </c>
      <c r="B175">
        <v>2.9359823399558498</v>
      </c>
      <c r="C175">
        <v>1.0397350993377501</v>
      </c>
      <c r="D175">
        <v>1.9757174392936001</v>
      </c>
      <c r="E175">
        <v>0.49448123620309098</v>
      </c>
      <c r="F175">
        <v>7.2847682119205295E-2</v>
      </c>
      <c r="G175">
        <v>0.58498896247240595</v>
      </c>
      <c r="H175">
        <v>454</v>
      </c>
      <c r="I175">
        <v>5.4200883002207503</v>
      </c>
      <c r="J175">
        <v>2160000</v>
      </c>
      <c r="K175">
        <v>1493333.33333333</v>
      </c>
      <c r="L175">
        <v>-96893.225553307697</v>
      </c>
      <c r="M175">
        <v>1590226.55888664</v>
      </c>
      <c r="P175">
        <f t="shared" si="4"/>
        <v>9.2596195768809917</v>
      </c>
      <c r="Q175">
        <f t="shared" si="5"/>
        <v>-3.8395312766602414</v>
      </c>
      <c r="T175" s="2">
        <v>150</v>
      </c>
      <c r="U175" s="2">
        <v>1813789.1326003317</v>
      </c>
      <c r="V175" s="2">
        <v>-1208563.4659336647</v>
      </c>
      <c r="W175" s="2">
        <v>-0.16452998034474345</v>
      </c>
    </row>
    <row r="176" spans="1:23" x14ac:dyDescent="0.35">
      <c r="A176" t="s">
        <v>187</v>
      </c>
      <c r="B176">
        <v>15.743833017077799</v>
      </c>
      <c r="C176">
        <v>2.5028462998102499</v>
      </c>
      <c r="D176">
        <v>3.4971537001897501</v>
      </c>
      <c r="E176">
        <v>2.1366223908918398</v>
      </c>
      <c r="F176">
        <v>0.275142314990512</v>
      </c>
      <c r="G176">
        <v>0.80265654648956397</v>
      </c>
      <c r="H176">
        <v>527</v>
      </c>
      <c r="I176">
        <v>17.316793168880501</v>
      </c>
      <c r="J176">
        <v>3901399</v>
      </c>
      <c r="K176">
        <v>20669514</v>
      </c>
      <c r="L176">
        <v>15249372.020979101</v>
      </c>
      <c r="M176">
        <v>5420141.9790208703</v>
      </c>
      <c r="P176">
        <f t="shared" si="4"/>
        <v>18.147596592657479</v>
      </c>
      <c r="Q176">
        <f t="shared" si="5"/>
        <v>-0.83080342377697747</v>
      </c>
      <c r="T176" s="2">
        <v>151</v>
      </c>
      <c r="U176" s="2">
        <v>3201948.6348662637</v>
      </c>
      <c r="V176" s="2">
        <v>2122542.0318004061</v>
      </c>
      <c r="W176" s="2">
        <v>0.28895611080153288</v>
      </c>
    </row>
    <row r="177" spans="1:23" x14ac:dyDescent="0.35">
      <c r="A177" t="s">
        <v>188</v>
      </c>
      <c r="B177">
        <v>6.8950437317784301</v>
      </c>
      <c r="C177">
        <v>1.98542274052478</v>
      </c>
      <c r="D177">
        <v>2.6588921282798799</v>
      </c>
      <c r="E177">
        <v>0.96793002915451898</v>
      </c>
      <c r="F177">
        <v>0.16618075801749299</v>
      </c>
      <c r="G177">
        <v>0.98542274052478096</v>
      </c>
      <c r="H177">
        <v>343</v>
      </c>
      <c r="I177">
        <v>10.0861516034985</v>
      </c>
      <c r="J177">
        <v>1563518</v>
      </c>
      <c r="K177">
        <v>1796070.66666667</v>
      </c>
      <c r="L177">
        <v>5922138.5903783897</v>
      </c>
      <c r="M177">
        <v>-4126067.9237117302</v>
      </c>
      <c r="P177">
        <f t="shared" si="4"/>
        <v>9.3999354462011731</v>
      </c>
      <c r="Q177">
        <f t="shared" si="5"/>
        <v>0.6862161572973271</v>
      </c>
      <c r="T177" s="2">
        <v>152</v>
      </c>
      <c r="U177" s="2">
        <v>1101491.0971882641</v>
      </c>
      <c r="V177" s="2">
        <v>-1062495.7638549309</v>
      </c>
      <c r="W177" s="2">
        <v>-0.14464478868585956</v>
      </c>
    </row>
    <row r="178" spans="1:23" x14ac:dyDescent="0.35">
      <c r="A178" t="s">
        <v>189</v>
      </c>
      <c r="B178">
        <v>5.3062200956937797</v>
      </c>
      <c r="C178">
        <v>1.47846889952153</v>
      </c>
      <c r="D178">
        <v>1.25358851674641</v>
      </c>
      <c r="E178">
        <v>1.01913875598086</v>
      </c>
      <c r="F178">
        <v>0.157894736842105</v>
      </c>
      <c r="G178">
        <v>0.56937799043062198</v>
      </c>
      <c r="H178">
        <v>209</v>
      </c>
      <c r="I178">
        <v>6.6337320574162701</v>
      </c>
      <c r="J178">
        <v>2372160</v>
      </c>
      <c r="K178">
        <v>3067991.6666666698</v>
      </c>
      <c r="L178">
        <v>1468657.8424390999</v>
      </c>
      <c r="M178">
        <v>1599333.8242275701</v>
      </c>
      <c r="P178">
        <f t="shared" si="4"/>
        <v>9.9894587100038663</v>
      </c>
      <c r="Q178">
        <f t="shared" si="5"/>
        <v>-3.3557266525875962</v>
      </c>
      <c r="T178" s="2">
        <v>153</v>
      </c>
      <c r="U178" s="2">
        <v>20097450.412194856</v>
      </c>
      <c r="V178" s="2">
        <v>438263.58780514449</v>
      </c>
      <c r="W178" s="2">
        <v>5.9663808744782117E-2</v>
      </c>
    </row>
    <row r="179" spans="1:23" x14ac:dyDescent="0.35">
      <c r="A179" t="s">
        <v>190</v>
      </c>
      <c r="B179">
        <v>14.064788732394399</v>
      </c>
      <c r="C179">
        <v>7.2704225352112699</v>
      </c>
      <c r="D179">
        <v>6.1014084507042297</v>
      </c>
      <c r="E179">
        <v>2.6535211267605598</v>
      </c>
      <c r="F179">
        <v>0.47323943661971801</v>
      </c>
      <c r="G179">
        <v>0.82535211267605602</v>
      </c>
      <c r="H179">
        <v>355</v>
      </c>
      <c r="I179">
        <v>22.438169014084501</v>
      </c>
      <c r="J179">
        <v>6287400</v>
      </c>
      <c r="K179">
        <v>7075602.3333333302</v>
      </c>
      <c r="L179">
        <v>21855738.490969598</v>
      </c>
      <c r="M179">
        <v>-14780136.157636199</v>
      </c>
      <c r="P179">
        <f t="shared" si="4"/>
        <v>11.846948066861579</v>
      </c>
      <c r="Q179">
        <f t="shared" si="5"/>
        <v>10.591220947222922</v>
      </c>
      <c r="T179" s="2">
        <v>154</v>
      </c>
      <c r="U179" s="2">
        <v>3823846.7117147315</v>
      </c>
      <c r="V179" s="2">
        <v>-1817280.3783814015</v>
      </c>
      <c r="W179" s="2">
        <v>-0.24739876172327652</v>
      </c>
    </row>
    <row r="180" spans="1:23" x14ac:dyDescent="0.35">
      <c r="A180" t="s">
        <v>191</v>
      </c>
      <c r="B180">
        <v>5.3782505910165499</v>
      </c>
      <c r="C180">
        <v>2.20094562647754</v>
      </c>
      <c r="D180">
        <v>1.2505910165484599</v>
      </c>
      <c r="E180">
        <v>0.72340425531914898</v>
      </c>
      <c r="F180">
        <v>0.12765957446808501</v>
      </c>
      <c r="G180">
        <v>0.64302600472813198</v>
      </c>
      <c r="H180">
        <v>423</v>
      </c>
      <c r="I180">
        <v>7.4540189125295502</v>
      </c>
      <c r="J180">
        <v>3098400</v>
      </c>
      <c r="K180">
        <v>4875251.6666666698</v>
      </c>
      <c r="L180">
        <v>2526794.51101988</v>
      </c>
      <c r="M180">
        <v>2348457.1556467898</v>
      </c>
      <c r="P180">
        <f t="shared" si="4"/>
        <v>10.827106499245538</v>
      </c>
      <c r="Q180">
        <f t="shared" si="5"/>
        <v>-3.3730875867159877</v>
      </c>
      <c r="T180" s="2">
        <v>155</v>
      </c>
      <c r="U180" s="2">
        <v>27858366.551229581</v>
      </c>
      <c r="V180" s="2">
        <v>4741693.4487704188</v>
      </c>
      <c r="W180" s="2">
        <v>0.64551904133913018</v>
      </c>
    </row>
    <row r="181" spans="1:23" x14ac:dyDescent="0.35">
      <c r="A181" t="s">
        <v>192</v>
      </c>
      <c r="B181">
        <v>9.88507462686567</v>
      </c>
      <c r="C181">
        <v>6.7477611940298496</v>
      </c>
      <c r="D181">
        <v>3.1373134328358199</v>
      </c>
      <c r="E181">
        <v>1.3970149253731301</v>
      </c>
      <c r="F181">
        <v>0.32686567164179098</v>
      </c>
      <c r="G181">
        <v>0.98955223880596999</v>
      </c>
      <c r="H181">
        <v>673</v>
      </c>
      <c r="I181">
        <v>16.567238805970099</v>
      </c>
      <c r="J181">
        <v>12960000</v>
      </c>
      <c r="K181">
        <v>8640000</v>
      </c>
      <c r="L181">
        <v>14282477.389490001</v>
      </c>
      <c r="M181">
        <v>-5642477.38949004</v>
      </c>
      <c r="P181">
        <f t="shared" si="4"/>
        <v>12.572031478754813</v>
      </c>
      <c r="Q181">
        <f t="shared" si="5"/>
        <v>3.9952073272152866</v>
      </c>
      <c r="T181" s="2">
        <v>156</v>
      </c>
      <c r="U181" s="2">
        <v>9077000.3867971227</v>
      </c>
      <c r="V181" s="2">
        <v>-7577000.3867971227</v>
      </c>
      <c r="W181" s="2">
        <v>-1.0315086959448678</v>
      </c>
    </row>
    <row r="182" spans="1:23" x14ac:dyDescent="0.35">
      <c r="A182" t="s">
        <v>193</v>
      </c>
      <c r="B182">
        <v>1.8217821782178201</v>
      </c>
      <c r="C182">
        <v>0.90759075907590803</v>
      </c>
      <c r="D182">
        <v>0.30033003300330002</v>
      </c>
      <c r="E182">
        <v>0.17491749174917501</v>
      </c>
      <c r="F182">
        <v>0.16171617161716201</v>
      </c>
      <c r="G182">
        <v>0.20792079207920799</v>
      </c>
      <c r="H182">
        <v>303</v>
      </c>
      <c r="I182">
        <v>2.6749174917491798</v>
      </c>
      <c r="J182">
        <v>1017781</v>
      </c>
      <c r="K182">
        <v>1585781.33333333</v>
      </c>
      <c r="L182">
        <v>-3638051.8773766099</v>
      </c>
      <c r="M182">
        <v>5223833.2107099397</v>
      </c>
      <c r="P182">
        <f t="shared" si="4"/>
        <v>9.3024683439758284</v>
      </c>
      <c r="Q182">
        <f t="shared" si="5"/>
        <v>-6.6275508522266486</v>
      </c>
      <c r="T182" s="2">
        <v>157</v>
      </c>
      <c r="U182" s="2">
        <v>11364872.533339923</v>
      </c>
      <c r="V182" s="2">
        <v>-4379872.5333399232</v>
      </c>
      <c r="W182" s="2">
        <v>-0.59626189450149447</v>
      </c>
    </row>
    <row r="183" spans="1:23" x14ac:dyDescent="0.35">
      <c r="A183" t="s">
        <v>194</v>
      </c>
      <c r="B183">
        <v>5.4448275862069</v>
      </c>
      <c r="C183">
        <v>2.5448275862069001</v>
      </c>
      <c r="D183">
        <v>1.0051724137931</v>
      </c>
      <c r="E183">
        <v>0.71206896551724097</v>
      </c>
      <c r="F183">
        <v>0.35517241379310299</v>
      </c>
      <c r="G183">
        <v>0.805172413793103</v>
      </c>
      <c r="H183">
        <v>583</v>
      </c>
      <c r="I183">
        <v>7.9289655172413802</v>
      </c>
      <c r="J183">
        <v>1968175</v>
      </c>
      <c r="K183">
        <v>656058.33333333302</v>
      </c>
      <c r="L183">
        <v>3139456.3072327701</v>
      </c>
      <c r="M183">
        <v>-2483397.9738994399</v>
      </c>
      <c r="P183">
        <f t="shared" si="4"/>
        <v>8.8715505924862086</v>
      </c>
      <c r="Q183">
        <f t="shared" si="5"/>
        <v>-0.94258507524482837</v>
      </c>
      <c r="T183" s="2">
        <v>158</v>
      </c>
      <c r="U183" s="2">
        <v>2092723.2207874134</v>
      </c>
      <c r="V183" s="2">
        <v>-129857.22078741342</v>
      </c>
      <c r="W183" s="2">
        <v>-1.7678348374754561E-2</v>
      </c>
    </row>
    <row r="184" spans="1:23" x14ac:dyDescent="0.35">
      <c r="A184" t="s">
        <v>195</v>
      </c>
      <c r="B184">
        <v>14.2080237741456</v>
      </c>
      <c r="C184">
        <v>3.8774145616641902</v>
      </c>
      <c r="D184">
        <v>5.5757800891530502</v>
      </c>
      <c r="E184">
        <v>2.3179791976225901</v>
      </c>
      <c r="F184">
        <v>0.45170876671619598</v>
      </c>
      <c r="G184">
        <v>1.28454680534918</v>
      </c>
      <c r="H184">
        <v>1349</v>
      </c>
      <c r="I184">
        <v>19.910995542347699</v>
      </c>
      <c r="J184">
        <v>34319520</v>
      </c>
      <c r="K184">
        <v>36861707</v>
      </c>
      <c r="L184">
        <v>18595787.534008302</v>
      </c>
      <c r="M184">
        <v>18265919.465991698</v>
      </c>
      <c r="P184">
        <f t="shared" si="4"/>
        <v>25.652523758325099</v>
      </c>
      <c r="Q184">
        <f t="shared" si="5"/>
        <v>-5.7415282159774002</v>
      </c>
      <c r="T184" s="2">
        <v>159</v>
      </c>
      <c r="U184" s="2">
        <v>11023705.197326085</v>
      </c>
      <c r="V184" s="2">
        <v>-5706865.1973260846</v>
      </c>
      <c r="W184" s="2">
        <v>-0.77691444861009717</v>
      </c>
    </row>
    <row r="185" spans="1:23" x14ac:dyDescent="0.35">
      <c r="A185" t="s">
        <v>196</v>
      </c>
      <c r="B185">
        <v>8.7372549019607799</v>
      </c>
      <c r="C185">
        <v>3.75294117647059</v>
      </c>
      <c r="D185">
        <v>1.22352941176471</v>
      </c>
      <c r="E185">
        <v>0.79607843137254897</v>
      </c>
      <c r="F185">
        <v>0.42745098039215701</v>
      </c>
      <c r="G185">
        <v>0.66666666666666696</v>
      </c>
      <c r="H185">
        <v>255</v>
      </c>
      <c r="I185">
        <v>11.474901960784299</v>
      </c>
      <c r="J185">
        <v>508891</v>
      </c>
      <c r="K185">
        <v>756881</v>
      </c>
      <c r="L185">
        <v>7713570.0480308495</v>
      </c>
      <c r="M185">
        <v>-6956689.0480308495</v>
      </c>
      <c r="P185">
        <f t="shared" si="4"/>
        <v>8.9182809377817289</v>
      </c>
      <c r="Q185">
        <f t="shared" si="5"/>
        <v>2.5566210230025703</v>
      </c>
      <c r="T185" s="2">
        <v>160</v>
      </c>
      <c r="U185" s="2">
        <v>-2054987.4052982135</v>
      </c>
      <c r="V185" s="2">
        <v>3941681.4052982135</v>
      </c>
      <c r="W185" s="2">
        <v>0.53660795019808405</v>
      </c>
    </row>
    <row r="186" spans="1:23" x14ac:dyDescent="0.35">
      <c r="A186" t="s">
        <v>197</v>
      </c>
      <c r="B186">
        <v>18.229714285714302</v>
      </c>
      <c r="C186">
        <v>8.4994285714285702</v>
      </c>
      <c r="D186">
        <v>3.73142857142857</v>
      </c>
      <c r="E186">
        <v>2.70057142857143</v>
      </c>
      <c r="F186">
        <v>0.36685714285714299</v>
      </c>
      <c r="G186">
        <v>0.69599999999999995</v>
      </c>
      <c r="H186">
        <v>878</v>
      </c>
      <c r="I186">
        <v>23.915828571428602</v>
      </c>
      <c r="J186">
        <v>23760000</v>
      </c>
      <c r="K186">
        <v>25660800</v>
      </c>
      <c r="L186">
        <v>23761859.199302401</v>
      </c>
      <c r="M186">
        <v>1898940.80069762</v>
      </c>
      <c r="P186">
        <f t="shared" si="4"/>
        <v>20.461010093411605</v>
      </c>
      <c r="Q186">
        <f t="shared" si="5"/>
        <v>3.4548184780169962</v>
      </c>
      <c r="T186" s="2">
        <v>161</v>
      </c>
      <c r="U186" s="2">
        <v>95304.655320276506</v>
      </c>
      <c r="V186" s="2">
        <v>2659676.3446797235</v>
      </c>
      <c r="W186" s="2">
        <v>0.36207986510288298</v>
      </c>
    </row>
    <row r="187" spans="1:23" x14ac:dyDescent="0.35">
      <c r="A187" t="s">
        <v>198</v>
      </c>
      <c r="B187">
        <v>4.7091633466135496</v>
      </c>
      <c r="C187">
        <v>3.2828685258964101</v>
      </c>
      <c r="D187">
        <v>0.63346613545816699</v>
      </c>
      <c r="E187">
        <v>0.47011952191235101</v>
      </c>
      <c r="F187">
        <v>0.36653386454183301</v>
      </c>
      <c r="G187">
        <v>0.52589641434262901</v>
      </c>
      <c r="H187">
        <v>251</v>
      </c>
      <c r="I187">
        <v>7.4490039840637499</v>
      </c>
      <c r="J187">
        <v>853241</v>
      </c>
      <c r="K187">
        <v>927045.66666666698</v>
      </c>
      <c r="L187">
        <v>2520325.4573383499</v>
      </c>
      <c r="M187">
        <v>-1593279.7906716899</v>
      </c>
      <c r="P187">
        <f t="shared" si="4"/>
        <v>8.9971506393412053</v>
      </c>
      <c r="Q187">
        <f t="shared" si="5"/>
        <v>-1.5481466552774554</v>
      </c>
      <c r="T187" s="2">
        <v>162</v>
      </c>
      <c r="U187" s="2">
        <v>1934010.6016959846</v>
      </c>
      <c r="V187" s="2">
        <v>-1412837.9350293176</v>
      </c>
      <c r="W187" s="2">
        <v>-0.19233925584627959</v>
      </c>
    </row>
    <row r="188" spans="1:23" x14ac:dyDescent="0.35">
      <c r="A188" t="s">
        <v>199</v>
      </c>
      <c r="B188">
        <v>1.19101123595506</v>
      </c>
      <c r="C188">
        <v>1</v>
      </c>
      <c r="D188">
        <v>0.37078651685393299</v>
      </c>
      <c r="E188">
        <v>0.202247191011236</v>
      </c>
      <c r="F188">
        <v>0.17977528089887601</v>
      </c>
      <c r="G188">
        <v>0.213483146067416</v>
      </c>
      <c r="H188">
        <v>89</v>
      </c>
      <c r="I188">
        <v>2.3561797752808999</v>
      </c>
      <c r="J188">
        <v>35096</v>
      </c>
      <c r="K188">
        <v>11698.666666666701</v>
      </c>
      <c r="L188">
        <v>-4049210.5633319099</v>
      </c>
      <c r="M188">
        <v>4060909.2299985802</v>
      </c>
      <c r="P188">
        <f t="shared" si="4"/>
        <v>8.5728960268676282</v>
      </c>
      <c r="Q188">
        <f t="shared" si="5"/>
        <v>-6.2167162515867282</v>
      </c>
      <c r="T188" s="2">
        <v>163</v>
      </c>
      <c r="U188" s="2">
        <v>6258850.3485968336</v>
      </c>
      <c r="V188" s="2">
        <v>-4099183.6819301639</v>
      </c>
      <c r="W188" s="2">
        <v>-0.55804980841153551</v>
      </c>
    </row>
    <row r="189" spans="1:23" x14ac:dyDescent="0.35">
      <c r="A189" t="s">
        <v>200</v>
      </c>
      <c r="B189">
        <v>9.6370106761565797</v>
      </c>
      <c r="C189">
        <v>7.3072360616844598</v>
      </c>
      <c r="D189">
        <v>2.12099644128114</v>
      </c>
      <c r="E189">
        <v>1.7781731909845799</v>
      </c>
      <c r="F189">
        <v>0.85646500593119801</v>
      </c>
      <c r="G189">
        <v>0.76156583629893204</v>
      </c>
      <c r="H189">
        <v>846</v>
      </c>
      <c r="I189">
        <v>15.923487544484001</v>
      </c>
      <c r="J189">
        <v>15625000</v>
      </c>
      <c r="K189">
        <v>16875000</v>
      </c>
      <c r="L189">
        <v>13452064.454091299</v>
      </c>
      <c r="M189">
        <v>3422935.54590873</v>
      </c>
      <c r="P189">
        <f t="shared" si="4"/>
        <v>16.388875510274993</v>
      </c>
      <c r="Q189">
        <f t="shared" si="5"/>
        <v>-0.46538796579099184</v>
      </c>
      <c r="T189" s="2">
        <v>164</v>
      </c>
      <c r="U189" s="2">
        <v>30190091.752537161</v>
      </c>
      <c r="V189" s="2">
        <v>13532831.580796137</v>
      </c>
      <c r="W189" s="2">
        <v>1.842316582254955</v>
      </c>
    </row>
    <row r="190" spans="1:23" x14ac:dyDescent="0.35">
      <c r="A190" t="s">
        <v>201</v>
      </c>
      <c r="B190">
        <v>2.2680412371134002</v>
      </c>
      <c r="C190">
        <v>1.5979381443298999</v>
      </c>
      <c r="D190">
        <v>0.27835051546391798</v>
      </c>
      <c r="E190">
        <v>0.35051546391752603</v>
      </c>
      <c r="F190">
        <v>0.36082474226804101</v>
      </c>
      <c r="G190">
        <v>0.21134020618556701</v>
      </c>
      <c r="H190">
        <v>194</v>
      </c>
      <c r="I190">
        <v>3.6546391752577301</v>
      </c>
      <c r="J190">
        <v>2909040</v>
      </c>
      <c r="K190">
        <v>3550218.3333333302</v>
      </c>
      <c r="L190">
        <v>-2374250.7669943902</v>
      </c>
      <c r="M190">
        <v>5924469.1003277302</v>
      </c>
      <c r="P190">
        <f t="shared" si="4"/>
        <v>10.21296617503198</v>
      </c>
      <c r="Q190">
        <f t="shared" si="5"/>
        <v>-6.5583269997742502</v>
      </c>
      <c r="T190" s="2">
        <v>165</v>
      </c>
      <c r="U190" s="2">
        <v>17757325.340887792</v>
      </c>
      <c r="V190" s="2">
        <v>7382674.6591122076</v>
      </c>
      <c r="W190" s="2">
        <v>1.0050538104070388</v>
      </c>
    </row>
    <row r="191" spans="1:23" x14ac:dyDescent="0.35">
      <c r="A191" t="s">
        <v>202</v>
      </c>
      <c r="B191">
        <v>21.5116564417178</v>
      </c>
      <c r="C191">
        <v>10.5374233128834</v>
      </c>
      <c r="D191">
        <v>2.9202453987730101</v>
      </c>
      <c r="E191">
        <v>2.5509202453987698</v>
      </c>
      <c r="F191">
        <v>1.0785276073619601</v>
      </c>
      <c r="G191">
        <v>0.77546012269938602</v>
      </c>
      <c r="H191">
        <v>818</v>
      </c>
      <c r="I191">
        <v>28.062453987730098</v>
      </c>
      <c r="J191">
        <v>33833400</v>
      </c>
      <c r="K191">
        <v>39966533.333333299</v>
      </c>
      <c r="L191">
        <v>29110837.275089901</v>
      </c>
      <c r="M191">
        <v>10855696.058243399</v>
      </c>
      <c r="P191">
        <f t="shared" si="4"/>
        <v>27.091581179003896</v>
      </c>
      <c r="Q191">
        <f t="shared" si="5"/>
        <v>0.97087280872620241</v>
      </c>
      <c r="T191" s="2">
        <v>166</v>
      </c>
      <c r="U191" s="2">
        <v>1268535.6970293447</v>
      </c>
      <c r="V191" s="2">
        <v>2353130.969637325</v>
      </c>
      <c r="W191" s="2">
        <v>0.32034775425214329</v>
      </c>
    </row>
    <row r="192" spans="1:23" x14ac:dyDescent="0.35">
      <c r="A192" t="s">
        <v>203</v>
      </c>
      <c r="B192">
        <v>19.0918972332016</v>
      </c>
      <c r="C192">
        <v>6.1086956521739104</v>
      </c>
      <c r="D192">
        <v>2.84881422924901</v>
      </c>
      <c r="E192">
        <v>1.5958498023715399</v>
      </c>
      <c r="F192">
        <v>0.59387351778656094</v>
      </c>
      <c r="G192">
        <v>1.60869565217391</v>
      </c>
      <c r="H192">
        <v>1014</v>
      </c>
      <c r="I192">
        <v>23.459337944664</v>
      </c>
      <c r="J192">
        <v>42492492</v>
      </c>
      <c r="K192">
        <v>45640084</v>
      </c>
      <c r="L192">
        <v>23173004.863734301</v>
      </c>
      <c r="M192">
        <v>22467079.136265699</v>
      </c>
      <c r="P192">
        <f t="shared" si="4"/>
        <v>29.721217851692924</v>
      </c>
      <c r="Q192">
        <f t="shared" si="5"/>
        <v>-6.2618799070289235</v>
      </c>
      <c r="T192" s="2">
        <v>167</v>
      </c>
      <c r="U192" s="2">
        <v>161640.32327615004</v>
      </c>
      <c r="V192" s="2">
        <v>595240.67672384996</v>
      </c>
      <c r="W192" s="2">
        <v>8.1034169575950304E-2</v>
      </c>
    </row>
    <row r="193" spans="1:23" x14ac:dyDescent="0.35">
      <c r="A193" t="s">
        <v>204</v>
      </c>
      <c r="B193">
        <v>3.2830188679245298</v>
      </c>
      <c r="C193">
        <v>1.0094339622641499</v>
      </c>
      <c r="D193">
        <v>1.7735849056603801</v>
      </c>
      <c r="E193">
        <v>0.58490566037735803</v>
      </c>
      <c r="F193">
        <v>0.13207547169811301</v>
      </c>
      <c r="G193">
        <v>0.55660377358490598</v>
      </c>
      <c r="H193">
        <v>106</v>
      </c>
      <c r="I193">
        <v>5.4396226415094304</v>
      </c>
      <c r="J193">
        <v>140384</v>
      </c>
      <c r="K193">
        <v>46794.666666666701</v>
      </c>
      <c r="L193">
        <v>-71694.720072840297</v>
      </c>
      <c r="M193">
        <v>118489.386739507</v>
      </c>
      <c r="P193">
        <f t="shared" si="4"/>
        <v>8.5891626884499281</v>
      </c>
      <c r="Q193">
        <f t="shared" si="5"/>
        <v>-3.1495400469404977</v>
      </c>
      <c r="T193" s="2">
        <v>168</v>
      </c>
      <c r="U193" s="2">
        <v>16571573.975106964</v>
      </c>
      <c r="V193" s="2">
        <v>-6526573.9751069639</v>
      </c>
      <c r="W193" s="2">
        <v>-0.88850699041551384</v>
      </c>
    </row>
    <row r="194" spans="1:23" x14ac:dyDescent="0.35">
      <c r="A194" t="s">
        <v>205</v>
      </c>
      <c r="B194">
        <v>13.064516129032301</v>
      </c>
      <c r="C194">
        <v>5.4802867383512499</v>
      </c>
      <c r="D194">
        <v>1.3942652329749099</v>
      </c>
      <c r="E194">
        <v>0.79569892473118298</v>
      </c>
      <c r="F194">
        <v>0.76344086021505397</v>
      </c>
      <c r="G194">
        <v>0.89605734767025103</v>
      </c>
      <c r="H194">
        <v>279</v>
      </c>
      <c r="I194">
        <v>16.838530465949798</v>
      </c>
      <c r="J194">
        <v>8008440</v>
      </c>
      <c r="K194">
        <v>8409000</v>
      </c>
      <c r="L194">
        <v>14632432.592984101</v>
      </c>
      <c r="M194">
        <v>-6223432.5929840701</v>
      </c>
      <c r="P194">
        <f t="shared" si="4"/>
        <v>12.464965179874282</v>
      </c>
      <c r="Q194">
        <f t="shared" si="5"/>
        <v>4.3735652860755163</v>
      </c>
      <c r="T194" s="2">
        <v>169</v>
      </c>
      <c r="U194" s="2">
        <v>5773757.2690632213</v>
      </c>
      <c r="V194" s="2">
        <v>11626242.730936779</v>
      </c>
      <c r="W194" s="2">
        <v>1.5827596497189147</v>
      </c>
    </row>
    <row r="195" spans="1:23" x14ac:dyDescent="0.35">
      <c r="A195" t="s">
        <v>206</v>
      </c>
      <c r="B195">
        <v>14.1966527196653</v>
      </c>
      <c r="C195">
        <v>5.0188284518828397</v>
      </c>
      <c r="D195">
        <v>1.9079497907949801</v>
      </c>
      <c r="E195">
        <v>1.1799163179916301</v>
      </c>
      <c r="F195">
        <v>0.21757322175732199</v>
      </c>
      <c r="G195">
        <v>0.64435146443514602</v>
      </c>
      <c r="H195">
        <v>478</v>
      </c>
      <c r="I195">
        <v>16.842468619246901</v>
      </c>
      <c r="J195">
        <v>3873024</v>
      </c>
      <c r="K195">
        <v>14291008</v>
      </c>
      <c r="L195">
        <v>14637512.650508</v>
      </c>
      <c r="M195">
        <v>-346504.65050798299</v>
      </c>
      <c r="P195">
        <f t="shared" ref="P195:P258" si="6">INTERCEPT($I$2:$I$331, $K$2:$K$331) + SLOPE($I$2:$I$331, $K$2:$K$331) * K195</f>
        <v>15.191219840245132</v>
      </c>
      <c r="Q195">
        <f t="shared" ref="Q195:Q258" si="7">I195 - P195</f>
        <v>1.6512487790017687</v>
      </c>
      <c r="T195" s="2">
        <v>170</v>
      </c>
      <c r="U195" s="2">
        <v>8664543.7580509242</v>
      </c>
      <c r="V195" s="2">
        <v>-2201548.0913842544</v>
      </c>
      <c r="W195" s="2">
        <v>-0.29971174407760914</v>
      </c>
    </row>
    <row r="196" spans="1:23" x14ac:dyDescent="0.35">
      <c r="A196" t="s">
        <v>207</v>
      </c>
      <c r="B196">
        <v>8.9880597014925403</v>
      </c>
      <c r="C196">
        <v>4.5462686567164203</v>
      </c>
      <c r="D196">
        <v>2.1771144278607002</v>
      </c>
      <c r="E196">
        <v>1.4318407960199</v>
      </c>
      <c r="F196">
        <v>0.42786069651741299</v>
      </c>
      <c r="G196">
        <v>0.700497512437811</v>
      </c>
      <c r="H196">
        <v>1008</v>
      </c>
      <c r="I196">
        <v>12.9676119402985</v>
      </c>
      <c r="J196">
        <v>12804878</v>
      </c>
      <c r="K196">
        <v>8333333.3333333302</v>
      </c>
      <c r="L196">
        <v>9639105.1886156704</v>
      </c>
      <c r="M196">
        <v>-1305771.85528234</v>
      </c>
      <c r="P196">
        <f t="shared" si="6"/>
        <v>12.429894400875897</v>
      </c>
      <c r="Q196">
        <f t="shared" si="7"/>
        <v>0.53771753942260325</v>
      </c>
      <c r="T196" s="2">
        <v>171</v>
      </c>
      <c r="U196" s="2">
        <v>13376979.535449134</v>
      </c>
      <c r="V196" s="2">
        <v>-4176979.5354491342</v>
      </c>
      <c r="W196" s="2">
        <v>-0.5686406880890793</v>
      </c>
    </row>
    <row r="197" spans="1:23" x14ac:dyDescent="0.35">
      <c r="A197" t="s">
        <v>208</v>
      </c>
      <c r="B197">
        <v>5.28571428571429</v>
      </c>
      <c r="C197">
        <v>3.44548872180451</v>
      </c>
      <c r="D197">
        <v>1.4849624060150399</v>
      </c>
      <c r="E197">
        <v>0.62218045112781994</v>
      </c>
      <c r="F197">
        <v>0.208646616541353</v>
      </c>
      <c r="G197">
        <v>0.63533834586466198</v>
      </c>
      <c r="H197">
        <v>535</v>
      </c>
      <c r="I197">
        <v>8.7385338345864696</v>
      </c>
      <c r="J197" s="1">
        <v>2000000</v>
      </c>
      <c r="K197">
        <v>4948000</v>
      </c>
      <c r="L197">
        <v>4183766.49819125</v>
      </c>
      <c r="M197">
        <v>764233.50180874998</v>
      </c>
      <c r="P197">
        <f t="shared" si="6"/>
        <v>10.860824658551714</v>
      </c>
      <c r="Q197">
        <f t="shared" si="7"/>
        <v>-2.122290823965244</v>
      </c>
      <c r="T197" s="2">
        <v>172</v>
      </c>
      <c r="U197" s="2">
        <v>5443292.7609897032</v>
      </c>
      <c r="V197" s="2">
        <v>-3676477.427656373</v>
      </c>
      <c r="W197" s="2">
        <v>-0.50050392549545852</v>
      </c>
    </row>
    <row r="198" spans="1:23" x14ac:dyDescent="0.35">
      <c r="A198" t="s">
        <v>209</v>
      </c>
      <c r="B198">
        <v>10.6</v>
      </c>
      <c r="C198">
        <v>2.8726457399103098</v>
      </c>
      <c r="D198">
        <v>1.80179372197309</v>
      </c>
      <c r="E198">
        <v>0.98744394618834097</v>
      </c>
      <c r="F198">
        <v>0.27623318385650197</v>
      </c>
      <c r="G198">
        <v>1.1201793721973099</v>
      </c>
      <c r="H198">
        <v>1118</v>
      </c>
      <c r="I198">
        <v>12.952600896861</v>
      </c>
      <c r="J198">
        <v>14004703</v>
      </c>
      <c r="K198">
        <v>14716608.6666667</v>
      </c>
      <c r="L198">
        <v>9619741.5533265192</v>
      </c>
      <c r="M198">
        <v>5096867.1133401403</v>
      </c>
      <c r="P198">
        <f t="shared" si="6"/>
        <v>15.388481693842923</v>
      </c>
      <c r="Q198">
        <f t="shared" si="7"/>
        <v>-2.4358807969819232</v>
      </c>
      <c r="T198" s="2">
        <v>173</v>
      </c>
      <c r="U198" s="2">
        <v>-90745.441655449569</v>
      </c>
      <c r="V198" s="2">
        <v>1584078.7749887796</v>
      </c>
      <c r="W198" s="2">
        <v>0.21565143830662054</v>
      </c>
    </row>
    <row r="199" spans="1:23" x14ac:dyDescent="0.35">
      <c r="A199" t="s">
        <v>210</v>
      </c>
      <c r="B199">
        <v>5.1818181818181799</v>
      </c>
      <c r="C199">
        <v>1.63636363636364</v>
      </c>
      <c r="D199">
        <v>1.00378787878788</v>
      </c>
      <c r="E199">
        <v>0.56818181818181801</v>
      </c>
      <c r="F199">
        <v>0.47727272727272702</v>
      </c>
      <c r="G199">
        <v>0.92045454545454497</v>
      </c>
      <c r="H199">
        <v>264</v>
      </c>
      <c r="I199">
        <v>7.3128787878787902</v>
      </c>
      <c r="J199">
        <v>508891</v>
      </c>
      <c r="K199">
        <v>756881</v>
      </c>
      <c r="L199">
        <v>2344729.49270332</v>
      </c>
      <c r="M199">
        <v>-1587848.49270332</v>
      </c>
      <c r="P199">
        <f t="shared" si="6"/>
        <v>8.9182809377817289</v>
      </c>
      <c r="Q199">
        <f t="shared" si="7"/>
        <v>-1.6054021499029387</v>
      </c>
      <c r="T199" s="2">
        <v>174</v>
      </c>
      <c r="U199" s="2">
        <v>15250755.695184598</v>
      </c>
      <c r="V199" s="2">
        <v>5418758.3048154023</v>
      </c>
      <c r="W199" s="2">
        <v>0.73769249403500381</v>
      </c>
    </row>
    <row r="200" spans="1:23" x14ac:dyDescent="0.35">
      <c r="A200" t="s">
        <v>211</v>
      </c>
      <c r="B200">
        <v>6.3318385650224203</v>
      </c>
      <c r="C200">
        <v>2.0762331838565</v>
      </c>
      <c r="D200">
        <v>1.52017937219731</v>
      </c>
      <c r="E200">
        <v>1.05829596412556</v>
      </c>
      <c r="F200">
        <v>0.23766816143497799</v>
      </c>
      <c r="G200">
        <v>0.65470852017937198</v>
      </c>
      <c r="H200">
        <v>223</v>
      </c>
      <c r="I200">
        <v>8.2932735426008897</v>
      </c>
      <c r="J200">
        <v>2681040</v>
      </c>
      <c r="K200">
        <v>3321350.3333333302</v>
      </c>
      <c r="L200">
        <v>3609398.8375661699</v>
      </c>
      <c r="M200">
        <v>-288048.50423283502</v>
      </c>
      <c r="P200">
        <f t="shared" si="6"/>
        <v>10.106888037836358</v>
      </c>
      <c r="Q200">
        <f t="shared" si="7"/>
        <v>-1.813614495235468</v>
      </c>
      <c r="T200" s="2">
        <v>175</v>
      </c>
      <c r="U200" s="2">
        <v>5926417.8201131616</v>
      </c>
      <c r="V200" s="2">
        <v>-4130347.1534464918</v>
      </c>
      <c r="W200" s="2">
        <v>-0.56229230415179388</v>
      </c>
    </row>
    <row r="201" spans="1:23" x14ac:dyDescent="0.35">
      <c r="A201" t="s">
        <v>212</v>
      </c>
      <c r="B201">
        <v>2.4125874125874098</v>
      </c>
      <c r="C201">
        <v>1.4965034965035</v>
      </c>
      <c r="D201">
        <v>0.41608391608391598</v>
      </c>
      <c r="E201">
        <v>0.304195804195804</v>
      </c>
      <c r="F201">
        <v>0.206293706293706</v>
      </c>
      <c r="G201">
        <v>0.26573426573426601</v>
      </c>
      <c r="H201">
        <v>286</v>
      </c>
      <c r="I201">
        <v>3.7426573426573402</v>
      </c>
      <c r="J201">
        <v>1637966</v>
      </c>
      <c r="K201">
        <v>1188620.66666667</v>
      </c>
      <c r="L201">
        <v>-2260710.9121908601</v>
      </c>
      <c r="M201">
        <v>3449331.5788575299</v>
      </c>
      <c r="P201">
        <f t="shared" si="6"/>
        <v>9.1183881593830876</v>
      </c>
      <c r="Q201">
        <f t="shared" si="7"/>
        <v>-5.3757308167257474</v>
      </c>
      <c r="T201" s="2">
        <v>176</v>
      </c>
      <c r="U201" s="2">
        <v>1474319.6151220314</v>
      </c>
      <c r="V201" s="2">
        <v>1593672.0515446384</v>
      </c>
      <c r="W201" s="2">
        <v>0.21695743641732609</v>
      </c>
    </row>
    <row r="202" spans="1:23" x14ac:dyDescent="0.35">
      <c r="A202" t="s">
        <v>213</v>
      </c>
      <c r="B202">
        <v>26.358229598893502</v>
      </c>
      <c r="C202">
        <v>6.7448132780082997</v>
      </c>
      <c r="D202">
        <v>4.1784232365145204</v>
      </c>
      <c r="E202">
        <v>3.04771784232365</v>
      </c>
      <c r="F202">
        <v>1.0871369294605799</v>
      </c>
      <c r="G202">
        <v>1.0103734439834</v>
      </c>
      <c r="H202">
        <v>1448</v>
      </c>
      <c r="I202">
        <v>29.9165975103734</v>
      </c>
      <c r="J202">
        <v>44119845</v>
      </c>
      <c r="K202">
        <v>47649432.666666701</v>
      </c>
      <c r="L202">
        <v>31502606.9808833</v>
      </c>
      <c r="M202">
        <v>16146825.685783301</v>
      </c>
      <c r="P202">
        <f t="shared" si="6"/>
        <v>30.65253181230128</v>
      </c>
      <c r="Q202">
        <f t="shared" si="7"/>
        <v>-0.73593430192788034</v>
      </c>
      <c r="T202" s="2">
        <v>177</v>
      </c>
      <c r="U202" s="2">
        <v>21855071.278263673</v>
      </c>
      <c r="V202" s="2">
        <v>-14779468.944930343</v>
      </c>
      <c r="W202" s="2">
        <v>-2.012029821815418</v>
      </c>
    </row>
    <row r="203" spans="1:23" x14ac:dyDescent="0.35">
      <c r="A203" t="s">
        <v>214</v>
      </c>
      <c r="B203">
        <v>10.994983277592</v>
      </c>
      <c r="C203">
        <v>3.3210702341137099</v>
      </c>
      <c r="D203">
        <v>2.7675585284280899</v>
      </c>
      <c r="E203">
        <v>1.1688963210702299</v>
      </c>
      <c r="F203">
        <v>0.37625418060200699</v>
      </c>
      <c r="G203">
        <v>0.85953177257525104</v>
      </c>
      <c r="H203">
        <v>601</v>
      </c>
      <c r="I203">
        <v>14.321989966555201</v>
      </c>
      <c r="J203">
        <v>14508929</v>
      </c>
      <c r="K203">
        <v>15669643</v>
      </c>
      <c r="L203">
        <v>11386197.737726901</v>
      </c>
      <c r="M203">
        <v>4283445.2622731496</v>
      </c>
      <c r="P203">
        <f t="shared" si="6"/>
        <v>15.830204026206861</v>
      </c>
      <c r="Q203">
        <f t="shared" si="7"/>
        <v>-1.5082140596516602</v>
      </c>
      <c r="T203" s="2">
        <v>178</v>
      </c>
      <c r="U203" s="2">
        <v>2532127.7947136164</v>
      </c>
      <c r="V203" s="2">
        <v>2343123.8719530534</v>
      </c>
      <c r="W203" s="2">
        <v>0.31898541985125256</v>
      </c>
    </row>
    <row r="204" spans="1:23" x14ac:dyDescent="0.35">
      <c r="A204" t="s">
        <v>215</v>
      </c>
      <c r="B204">
        <v>12.977728285077999</v>
      </c>
      <c r="C204">
        <v>8.0430586488492892</v>
      </c>
      <c r="D204">
        <v>1.8225686711210101</v>
      </c>
      <c r="E204">
        <v>1.41351150705271</v>
      </c>
      <c r="F204">
        <v>0.32442464736451398</v>
      </c>
      <c r="G204">
        <v>0.50705270972531502</v>
      </c>
      <c r="H204">
        <v>1348</v>
      </c>
      <c r="I204">
        <v>18.115033407572401</v>
      </c>
      <c r="J204">
        <v>30556968</v>
      </c>
      <c r="K204">
        <v>10185656</v>
      </c>
      <c r="L204">
        <v>16279069.4513737</v>
      </c>
      <c r="M204">
        <v>-6093413.4513737103</v>
      </c>
      <c r="P204">
        <f t="shared" si="6"/>
        <v>13.288428306730932</v>
      </c>
      <c r="Q204">
        <f t="shared" si="7"/>
        <v>4.8266051008414692</v>
      </c>
      <c r="T204" s="2">
        <v>179</v>
      </c>
      <c r="U204" s="2">
        <v>14284161.227416748</v>
      </c>
      <c r="V204" s="2">
        <v>-5644161.2274167482</v>
      </c>
      <c r="W204" s="2">
        <v>-0.76837812989161725</v>
      </c>
    </row>
    <row r="205" spans="1:23" x14ac:dyDescent="0.35">
      <c r="A205" t="s">
        <v>216</v>
      </c>
      <c r="B205">
        <v>4.2246543778801797</v>
      </c>
      <c r="C205">
        <v>4.8813364055299502</v>
      </c>
      <c r="D205">
        <v>1.3675115207373301</v>
      </c>
      <c r="E205">
        <v>0.51267281105990803</v>
      </c>
      <c r="F205">
        <v>0.44585253456221202</v>
      </c>
      <c r="G205">
        <v>0.44124423963133602</v>
      </c>
      <c r="H205">
        <v>870</v>
      </c>
      <c r="I205">
        <v>9.0718317972350206</v>
      </c>
      <c r="J205" s="1">
        <v>8000000</v>
      </c>
      <c r="K205">
        <v>8500000</v>
      </c>
      <c r="L205">
        <v>4613707.3093151804</v>
      </c>
      <c r="M205">
        <v>3886292.6906848201</v>
      </c>
      <c r="P205">
        <f t="shared" si="6"/>
        <v>12.507142812766613</v>
      </c>
      <c r="Q205">
        <f t="shared" si="7"/>
        <v>-3.4353110155315925</v>
      </c>
      <c r="T205" s="2">
        <v>180</v>
      </c>
      <c r="U205" s="2">
        <v>-3630804.7727003885</v>
      </c>
      <c r="V205" s="2">
        <v>5216586.1060337182</v>
      </c>
      <c r="W205" s="2">
        <v>0.71016941491717966</v>
      </c>
    </row>
    <row r="206" spans="1:23" x14ac:dyDescent="0.35">
      <c r="A206" t="s">
        <v>217</v>
      </c>
      <c r="B206">
        <v>15.460843373494001</v>
      </c>
      <c r="C206">
        <v>4.52510040160643</v>
      </c>
      <c r="D206">
        <v>3.6817269076305199</v>
      </c>
      <c r="E206">
        <v>1.9718875502008</v>
      </c>
      <c r="F206">
        <v>0.186746987951807</v>
      </c>
      <c r="G206">
        <v>1.05722891566265</v>
      </c>
      <c r="H206">
        <v>998</v>
      </c>
      <c r="I206">
        <v>19.155471887550199</v>
      </c>
      <c r="J206">
        <v>37984276</v>
      </c>
      <c r="K206">
        <v>26126942.666666701</v>
      </c>
      <c r="L206">
        <v>17621192.7588537</v>
      </c>
      <c r="M206">
        <v>8505749.9078129791</v>
      </c>
      <c r="P206">
        <f t="shared" si="6"/>
        <v>20.677062777698637</v>
      </c>
      <c r="Q206">
        <f t="shared" si="7"/>
        <v>-1.5215908901484383</v>
      </c>
      <c r="T206" s="2">
        <v>181</v>
      </c>
      <c r="U206" s="2">
        <v>3144599.3955952916</v>
      </c>
      <c r="V206" s="2">
        <v>-2488541.0622619586</v>
      </c>
      <c r="W206" s="2">
        <v>-0.33878205291001262</v>
      </c>
    </row>
    <row r="207" spans="1:23" x14ac:dyDescent="0.35">
      <c r="A207" t="s">
        <v>218</v>
      </c>
      <c r="B207">
        <v>17.900170648464201</v>
      </c>
      <c r="C207">
        <v>3.36945392491468</v>
      </c>
      <c r="D207">
        <v>2.1561433447098999</v>
      </c>
      <c r="E207">
        <v>1.56484641638225</v>
      </c>
      <c r="F207">
        <v>0.48805460750853202</v>
      </c>
      <c r="G207">
        <v>0.80290102389078499</v>
      </c>
      <c r="H207">
        <v>1174</v>
      </c>
      <c r="I207">
        <v>18.785366894197999</v>
      </c>
      <c r="J207">
        <v>40600080</v>
      </c>
      <c r="K207">
        <v>27939840</v>
      </c>
      <c r="L207">
        <v>17143772.375667401</v>
      </c>
      <c r="M207">
        <v>10796067.624332599</v>
      </c>
      <c r="P207">
        <f t="shared" si="6"/>
        <v>21.517323417224084</v>
      </c>
      <c r="Q207">
        <f t="shared" si="7"/>
        <v>-2.7319565230260849</v>
      </c>
      <c r="T207" s="2">
        <v>182</v>
      </c>
      <c r="U207" s="2">
        <v>18596132.343687087</v>
      </c>
      <c r="V207" s="2">
        <v>18265574.656312913</v>
      </c>
      <c r="W207" s="2">
        <v>2.4866171482909594</v>
      </c>
    </row>
    <row r="208" spans="1:23" x14ac:dyDescent="0.35">
      <c r="A208" t="s">
        <v>219</v>
      </c>
      <c r="B208">
        <v>6.8489871086556198</v>
      </c>
      <c r="C208">
        <v>2.9779005524861901</v>
      </c>
      <c r="D208">
        <v>3.4696132596685101</v>
      </c>
      <c r="E208">
        <v>1.4272559852670399</v>
      </c>
      <c r="F208">
        <v>0.35543278084714502</v>
      </c>
      <c r="G208">
        <v>1.35543278084715</v>
      </c>
      <c r="H208">
        <v>545</v>
      </c>
      <c r="I208">
        <v>11.985911602209899</v>
      </c>
      <c r="J208">
        <v>1000001</v>
      </c>
      <c r="K208">
        <v>1195495</v>
      </c>
      <c r="L208">
        <v>8372751.6943295803</v>
      </c>
      <c r="M208">
        <v>-7177256.6943295803</v>
      </c>
      <c r="P208">
        <f t="shared" si="6"/>
        <v>9.1215743473799318</v>
      </c>
      <c r="Q208">
        <f t="shared" si="7"/>
        <v>2.8643372548299677</v>
      </c>
      <c r="T208" s="2">
        <v>183</v>
      </c>
      <c r="U208" s="2">
        <v>7717293.14402017</v>
      </c>
      <c r="V208" s="2">
        <v>-6960412.14402017</v>
      </c>
      <c r="W208" s="2">
        <v>-0.94756833672962393</v>
      </c>
    </row>
    <row r="209" spans="1:23" x14ac:dyDescent="0.35">
      <c r="A209" t="s">
        <v>220</v>
      </c>
      <c r="B209">
        <v>16.590839694656498</v>
      </c>
      <c r="C209">
        <v>6.5847328244274799</v>
      </c>
      <c r="D209">
        <v>1.57404580152672</v>
      </c>
      <c r="E209">
        <v>1.4030534351145001</v>
      </c>
      <c r="F209">
        <v>1.5175572519084</v>
      </c>
      <c r="G209">
        <v>0.644274809160305</v>
      </c>
      <c r="H209">
        <v>657</v>
      </c>
      <c r="I209">
        <v>20.745267175572501</v>
      </c>
      <c r="J209">
        <v>33833400</v>
      </c>
      <c r="K209">
        <v>23283200</v>
      </c>
      <c r="L209">
        <v>19671963.997362699</v>
      </c>
      <c r="M209">
        <v>3611236.0026372601</v>
      </c>
      <c r="P209">
        <f t="shared" si="6"/>
        <v>19.359015148743435</v>
      </c>
      <c r="Q209">
        <f t="shared" si="7"/>
        <v>1.3862520268290659</v>
      </c>
      <c r="T209" s="2">
        <v>184</v>
      </c>
      <c r="U209" s="2">
        <v>23760600.248607121</v>
      </c>
      <c r="V209" s="2">
        <v>1900199.7513928786</v>
      </c>
      <c r="W209" s="2">
        <v>0.25868714102343782</v>
      </c>
    </row>
    <row r="210" spans="1:23" x14ac:dyDescent="0.35">
      <c r="A210" t="s">
        <v>221</v>
      </c>
      <c r="B210">
        <v>6.0649214659685899</v>
      </c>
      <c r="C210">
        <v>3.7706806282722498</v>
      </c>
      <c r="D210">
        <v>2.4460732984293201</v>
      </c>
      <c r="E210">
        <v>0.894240837696335</v>
      </c>
      <c r="F210">
        <v>0.543455497382199</v>
      </c>
      <c r="G210">
        <v>0.87539267015706801</v>
      </c>
      <c r="H210">
        <v>958</v>
      </c>
      <c r="I210">
        <v>10.9830366492147</v>
      </c>
      <c r="J210">
        <v>8780488</v>
      </c>
      <c r="K210" s="1">
        <v>6000000</v>
      </c>
      <c r="L210">
        <v>7079083.8083325597</v>
      </c>
      <c r="M210">
        <v>-1079083.8083325599</v>
      </c>
      <c r="P210">
        <f t="shared" si="6"/>
        <v>11.348416634405901</v>
      </c>
      <c r="Q210">
        <f t="shared" si="7"/>
        <v>-0.36537998519120052</v>
      </c>
      <c r="T210" s="2">
        <v>185</v>
      </c>
      <c r="U210" s="2">
        <v>2525660.7492914908</v>
      </c>
      <c r="V210" s="2">
        <v>-1598615.0826248238</v>
      </c>
      <c r="W210" s="2">
        <v>-0.21763036492244028</v>
      </c>
    </row>
    <row r="211" spans="1:23" x14ac:dyDescent="0.35">
      <c r="A211" t="s">
        <v>222</v>
      </c>
      <c r="B211">
        <v>15.6478454680535</v>
      </c>
      <c r="C211">
        <v>5.7860326894502201</v>
      </c>
      <c r="D211">
        <v>2.47696879643388</v>
      </c>
      <c r="E211">
        <v>1.9925705794948001</v>
      </c>
      <c r="F211">
        <v>0.47399702823179801</v>
      </c>
      <c r="G211">
        <v>0.530460624071322</v>
      </c>
      <c r="H211">
        <v>676</v>
      </c>
      <c r="I211">
        <v>18.849851411589899</v>
      </c>
      <c r="J211" s="1">
        <v>13000000</v>
      </c>
      <c r="K211">
        <v>8666666.6666666698</v>
      </c>
      <c r="L211">
        <v>17226954.7794604</v>
      </c>
      <c r="M211">
        <v>-8560288.1127937697</v>
      </c>
      <c r="P211">
        <f t="shared" si="6"/>
        <v>12.584391224657328</v>
      </c>
      <c r="Q211">
        <f t="shared" si="7"/>
        <v>6.2654601869325717</v>
      </c>
      <c r="T211" s="2">
        <v>186</v>
      </c>
      <c r="U211" s="2">
        <v>-4041835.8181484211</v>
      </c>
      <c r="V211" s="2">
        <v>4053534.4848150876</v>
      </c>
      <c r="W211" s="2">
        <v>0.55183527213288464</v>
      </c>
    </row>
    <row r="212" spans="1:23" x14ac:dyDescent="0.35">
      <c r="A212" t="s">
        <v>223</v>
      </c>
      <c r="B212">
        <v>12.7057256990679</v>
      </c>
      <c r="C212">
        <v>3.8761651131824202</v>
      </c>
      <c r="D212">
        <v>5.4507323568575199</v>
      </c>
      <c r="E212">
        <v>2.06657789613848</v>
      </c>
      <c r="F212">
        <v>0.27496671105193099</v>
      </c>
      <c r="G212">
        <v>1.1817576564580601</v>
      </c>
      <c r="H212">
        <v>1504</v>
      </c>
      <c r="I212">
        <v>18.504394141145099</v>
      </c>
      <c r="J212">
        <v>28333334</v>
      </c>
      <c r="K212">
        <v>19338624.666666701</v>
      </c>
      <c r="L212">
        <v>16781328.955997799</v>
      </c>
      <c r="M212">
        <v>2557295.7106688698</v>
      </c>
      <c r="P212">
        <f t="shared" si="6"/>
        <v>17.530742068243747</v>
      </c>
      <c r="Q212">
        <f t="shared" si="7"/>
        <v>0.97365207290135203</v>
      </c>
      <c r="T212" s="2">
        <v>187</v>
      </c>
      <c r="U212" s="2">
        <v>13454006.086227322</v>
      </c>
      <c r="V212" s="2">
        <v>3420993.913772678</v>
      </c>
      <c r="W212" s="2">
        <v>0.46572321376409997</v>
      </c>
    </row>
    <row r="213" spans="1:23" x14ac:dyDescent="0.35">
      <c r="A213" t="s">
        <v>224</v>
      </c>
      <c r="B213">
        <v>21.769467213114801</v>
      </c>
      <c r="C213">
        <v>3.7284836065573801</v>
      </c>
      <c r="D213">
        <v>5.1229508196721296</v>
      </c>
      <c r="E213">
        <v>2.29303278688525</v>
      </c>
      <c r="F213">
        <v>0.42008196721311503</v>
      </c>
      <c r="G213">
        <v>1.22745901639344</v>
      </c>
      <c r="H213">
        <v>978</v>
      </c>
      <c r="I213">
        <v>24.933862704917999</v>
      </c>
      <c r="J213">
        <v>38917057</v>
      </c>
      <c r="K213">
        <v>12972352.3333333</v>
      </c>
      <c r="L213">
        <v>25075081.811364502</v>
      </c>
      <c r="M213">
        <v>-12102729.478031101</v>
      </c>
      <c r="P213">
        <f t="shared" si="6"/>
        <v>14.580035503760973</v>
      </c>
      <c r="Q213">
        <f t="shared" si="7"/>
        <v>10.353827201157026</v>
      </c>
      <c r="T213" s="2">
        <v>188</v>
      </c>
      <c r="U213" s="2">
        <v>-2367395.9979791781</v>
      </c>
      <c r="V213" s="2">
        <v>5917614.3313125083</v>
      </c>
      <c r="W213" s="2">
        <v>0.80560516436466501</v>
      </c>
    </row>
    <row r="214" spans="1:23" x14ac:dyDescent="0.35">
      <c r="A214" t="s">
        <v>225</v>
      </c>
      <c r="B214">
        <v>19.906976744186</v>
      </c>
      <c r="C214">
        <v>5.6079734219269097</v>
      </c>
      <c r="D214">
        <v>7.1295681063122904</v>
      </c>
      <c r="E214">
        <v>3.2225913621262499</v>
      </c>
      <c r="F214">
        <v>0.31561461794019902</v>
      </c>
      <c r="G214">
        <v>1.36544850498339</v>
      </c>
      <c r="H214">
        <v>301</v>
      </c>
      <c r="I214">
        <v>26.615946843853798</v>
      </c>
      <c r="J214">
        <v>8623920</v>
      </c>
      <c r="K214">
        <v>11275396</v>
      </c>
      <c r="L214">
        <v>27244901.9126512</v>
      </c>
      <c r="M214">
        <v>-15969505.9126512</v>
      </c>
      <c r="P214">
        <f t="shared" si="6"/>
        <v>13.793512412973653</v>
      </c>
      <c r="Q214">
        <f t="shared" si="7"/>
        <v>12.822434430880145</v>
      </c>
      <c r="T214" s="2">
        <v>189</v>
      </c>
      <c r="U214" s="2">
        <v>29107917.782374434</v>
      </c>
      <c r="V214" s="2">
        <v>10858615.550958864</v>
      </c>
      <c r="W214" s="2">
        <v>1.4782573307312337</v>
      </c>
    </row>
    <row r="215" spans="1:23" x14ac:dyDescent="0.35">
      <c r="A215" t="s">
        <v>226</v>
      </c>
      <c r="B215">
        <v>3.8688046647230299</v>
      </c>
      <c r="C215">
        <v>2.06122448979592</v>
      </c>
      <c r="D215">
        <v>0.44023323615160298</v>
      </c>
      <c r="E215">
        <v>0.419825072886297</v>
      </c>
      <c r="F215">
        <v>0.24489795918367299</v>
      </c>
      <c r="G215">
        <v>0.32069970845481</v>
      </c>
      <c r="H215">
        <v>343</v>
      </c>
      <c r="I215">
        <v>5.3465014577259504</v>
      </c>
      <c r="J215">
        <v>1782621</v>
      </c>
      <c r="K215">
        <v>1237767.33333333</v>
      </c>
      <c r="L215">
        <v>-191817.25838823</v>
      </c>
      <c r="M215">
        <v>1429584.5917215601</v>
      </c>
      <c r="P215">
        <f t="shared" si="6"/>
        <v>9.1411671710814186</v>
      </c>
      <c r="Q215">
        <f t="shared" si="7"/>
        <v>-3.7946657133554682</v>
      </c>
      <c r="T215" s="2">
        <v>190</v>
      </c>
      <c r="U215" s="2">
        <v>23171928.71755863</v>
      </c>
      <c r="V215" s="2">
        <v>22468155.28244137</v>
      </c>
      <c r="W215" s="2">
        <v>3.058743087312243</v>
      </c>
    </row>
    <row r="216" spans="1:23" x14ac:dyDescent="0.35">
      <c r="A216" t="s">
        <v>227</v>
      </c>
      <c r="B216">
        <v>7.3871559633027504</v>
      </c>
      <c r="C216">
        <v>1.5376146788990801</v>
      </c>
      <c r="D216">
        <v>1.3376146788990799</v>
      </c>
      <c r="E216">
        <v>0.60733944954128405</v>
      </c>
      <c r="F216">
        <v>0.13027522935779801</v>
      </c>
      <c r="G216">
        <v>0.44220183486238501</v>
      </c>
      <c r="H216">
        <v>547</v>
      </c>
      <c r="I216">
        <v>8.3768807339449491</v>
      </c>
      <c r="J216">
        <v>9500000</v>
      </c>
      <c r="K216">
        <v>10250000</v>
      </c>
      <c r="L216">
        <v>3717248.7127247602</v>
      </c>
      <c r="M216">
        <v>6532751.2872752398</v>
      </c>
      <c r="P216">
        <f t="shared" si="6"/>
        <v>13.318251137619111</v>
      </c>
      <c r="Q216">
        <f t="shared" si="7"/>
        <v>-4.9413704036741617</v>
      </c>
      <c r="T216" s="2">
        <v>191</v>
      </c>
      <c r="U216" s="2">
        <v>-65554.758823836222</v>
      </c>
      <c r="V216" s="2">
        <v>112349.42549050292</v>
      </c>
      <c r="W216" s="2">
        <v>1.5294892894528598E-2</v>
      </c>
    </row>
    <row r="217" spans="1:23" x14ac:dyDescent="0.35">
      <c r="A217" t="s">
        <v>228</v>
      </c>
      <c r="B217">
        <v>17.8011049723757</v>
      </c>
      <c r="C217">
        <v>6.7200736648250503</v>
      </c>
      <c r="D217">
        <v>1.44198895027624</v>
      </c>
      <c r="E217">
        <v>1.3351749539594799</v>
      </c>
      <c r="F217">
        <v>0.46961325966850798</v>
      </c>
      <c r="G217">
        <v>0.68508287292817704</v>
      </c>
      <c r="H217">
        <v>545</v>
      </c>
      <c r="I217">
        <v>20.655985267035</v>
      </c>
      <c r="J217">
        <v>16475454</v>
      </c>
      <c r="K217">
        <v>17259999</v>
      </c>
      <c r="L217">
        <v>19556793.967908401</v>
      </c>
      <c r="M217">
        <v>-2296794.9679083601</v>
      </c>
      <c r="P217">
        <f t="shared" si="6"/>
        <v>16.56731887825207</v>
      </c>
      <c r="Q217">
        <f t="shared" si="7"/>
        <v>4.0886663887829293</v>
      </c>
      <c r="T217" s="2">
        <v>192</v>
      </c>
      <c r="U217" s="2">
        <v>14634007.790472882</v>
      </c>
      <c r="V217" s="2">
        <v>-6225007.7904728819</v>
      </c>
      <c r="W217" s="2">
        <v>-0.84745273068563376</v>
      </c>
    </row>
    <row r="218" spans="1:23" x14ac:dyDescent="0.35">
      <c r="A218" t="s">
        <v>229</v>
      </c>
      <c r="B218">
        <v>25.743514439549699</v>
      </c>
      <c r="C218">
        <v>7.3083700440528601</v>
      </c>
      <c r="D218">
        <v>6.9858051884483601</v>
      </c>
      <c r="E218">
        <v>3.3470386686245699</v>
      </c>
      <c r="F218">
        <v>0.73127753303964804</v>
      </c>
      <c r="G218">
        <v>1.4620655898188899</v>
      </c>
      <c r="H218">
        <v>2046</v>
      </c>
      <c r="I218">
        <v>32.659960841899199</v>
      </c>
      <c r="J218">
        <v>44474988</v>
      </c>
      <c r="K218">
        <v>47202787</v>
      </c>
      <c r="L218">
        <v>35041434.060986198</v>
      </c>
      <c r="M218">
        <v>12161352.9390138</v>
      </c>
      <c r="P218">
        <f t="shared" si="6"/>
        <v>30.44551580173405</v>
      </c>
      <c r="Q218">
        <f t="shared" si="7"/>
        <v>2.214445040165149</v>
      </c>
      <c r="T218" s="2">
        <v>193</v>
      </c>
      <c r="U218" s="2">
        <v>14639086.270938823</v>
      </c>
      <c r="V218" s="2">
        <v>-348078.270938823</v>
      </c>
      <c r="W218" s="2">
        <v>-4.7386266994058061E-2</v>
      </c>
    </row>
    <row r="219" spans="1:23" x14ac:dyDescent="0.35">
      <c r="A219" t="s">
        <v>230</v>
      </c>
      <c r="B219">
        <v>3.0190476190476199</v>
      </c>
      <c r="C219">
        <v>1.16190476190476</v>
      </c>
      <c r="D219">
        <v>0.71428571428571397</v>
      </c>
      <c r="E219">
        <v>0.4</v>
      </c>
      <c r="F219">
        <v>4.7619047619047603E-2</v>
      </c>
      <c r="G219">
        <v>0.15238095238095201</v>
      </c>
      <c r="H219">
        <v>105</v>
      </c>
      <c r="I219">
        <v>3.9080952380952398</v>
      </c>
      <c r="J219">
        <v>129405</v>
      </c>
      <c r="K219">
        <v>43135</v>
      </c>
      <c r="L219">
        <v>-2047302.7581476099</v>
      </c>
      <c r="M219">
        <v>2090437.7581476099</v>
      </c>
      <c r="P219">
        <f t="shared" si="6"/>
        <v>8.5874664678216313</v>
      </c>
      <c r="Q219">
        <f t="shared" si="7"/>
        <v>-4.6793712297263914</v>
      </c>
      <c r="T219" s="2">
        <v>194</v>
      </c>
      <c r="U219" s="2">
        <v>9642230.5195801556</v>
      </c>
      <c r="V219" s="2">
        <v>-1308897.1862468254</v>
      </c>
      <c r="W219" s="2">
        <v>-0.17818909341274131</v>
      </c>
    </row>
    <row r="220" spans="1:23" x14ac:dyDescent="0.35">
      <c r="A220" t="s">
        <v>231</v>
      </c>
      <c r="B220">
        <v>3.3728813559322002</v>
      </c>
      <c r="C220">
        <v>1.26779661016949</v>
      </c>
      <c r="D220">
        <v>0.52542372881355903</v>
      </c>
      <c r="E220">
        <v>0.20338983050847501</v>
      </c>
      <c r="F220">
        <v>0.13559322033898299</v>
      </c>
      <c r="G220">
        <v>0.264406779661017</v>
      </c>
      <c r="H220">
        <v>295</v>
      </c>
      <c r="I220">
        <v>4.3676271186440703</v>
      </c>
      <c r="J220">
        <v>2316876</v>
      </c>
      <c r="K220">
        <v>1414924</v>
      </c>
      <c r="L220">
        <v>-1454525.3289354199</v>
      </c>
      <c r="M220">
        <v>2869449.3289354201</v>
      </c>
      <c r="P220">
        <f t="shared" si="6"/>
        <v>9.2232775980165354</v>
      </c>
      <c r="Q220">
        <f t="shared" si="7"/>
        <v>-4.8556504793724651</v>
      </c>
      <c r="T220" s="2">
        <v>195</v>
      </c>
      <c r="U220" s="2">
        <v>4188585.3898699041</v>
      </c>
      <c r="V220" s="2">
        <v>759414.61013009585</v>
      </c>
      <c r="W220" s="2">
        <v>0.10338428588993415</v>
      </c>
    </row>
    <row r="221" spans="1:23" x14ac:dyDescent="0.35">
      <c r="A221" t="s">
        <v>232</v>
      </c>
      <c r="B221">
        <v>9.3453608247422704</v>
      </c>
      <c r="C221">
        <v>4.6288659793814402</v>
      </c>
      <c r="D221">
        <v>4.9458762886597896</v>
      </c>
      <c r="E221">
        <v>1.9896907216494799</v>
      </c>
      <c r="F221">
        <v>0.53092783505154595</v>
      </c>
      <c r="G221">
        <v>1.3144329896907201</v>
      </c>
      <c r="H221">
        <v>391</v>
      </c>
      <c r="I221">
        <v>16.508505154639199</v>
      </c>
      <c r="J221">
        <v>19534884</v>
      </c>
      <c r="K221">
        <v>20465116.333333299</v>
      </c>
      <c r="L221">
        <v>14206713.368933599</v>
      </c>
      <c r="M221">
        <v>6258402.9643996796</v>
      </c>
      <c r="P221">
        <f t="shared" si="6"/>
        <v>18.052860221792457</v>
      </c>
      <c r="Q221">
        <f t="shared" si="7"/>
        <v>-1.5443550671532584</v>
      </c>
      <c r="T221" s="2">
        <v>196</v>
      </c>
      <c r="U221" s="2">
        <v>9622872.8955570329</v>
      </c>
      <c r="V221" s="2">
        <v>5093735.7711096667</v>
      </c>
      <c r="W221" s="2">
        <v>0.69344496166326275</v>
      </c>
    </row>
    <row r="222" spans="1:23" x14ac:dyDescent="0.35">
      <c r="A222" t="s">
        <v>233</v>
      </c>
      <c r="B222">
        <v>11.1063394683027</v>
      </c>
      <c r="C222">
        <v>3.6707566462167698</v>
      </c>
      <c r="D222">
        <v>1.4601226993865</v>
      </c>
      <c r="E222">
        <v>1.04294478527607</v>
      </c>
      <c r="F222">
        <v>0.39877300613496902</v>
      </c>
      <c r="G222">
        <v>0.91002044989775099</v>
      </c>
      <c r="H222">
        <v>489</v>
      </c>
      <c r="I222">
        <v>13.513803680981599</v>
      </c>
      <c r="J222">
        <v>15277778</v>
      </c>
      <c r="K222">
        <v>15685185.3333333</v>
      </c>
      <c r="L222">
        <v>10343670.3115237</v>
      </c>
      <c r="M222">
        <v>5341515.0218096199</v>
      </c>
      <c r="P222">
        <f t="shared" si="6"/>
        <v>15.837407749609302</v>
      </c>
      <c r="Q222">
        <f t="shared" si="7"/>
        <v>-2.3236040686277022</v>
      </c>
      <c r="T222" s="2">
        <v>197</v>
      </c>
      <c r="U222" s="2">
        <v>2350119.2968405988</v>
      </c>
      <c r="V222" s="2">
        <v>-1593238.2968405988</v>
      </c>
      <c r="W222" s="2">
        <v>-0.216898386433654</v>
      </c>
    </row>
    <row r="223" spans="1:23" x14ac:dyDescent="0.35">
      <c r="A223" t="s">
        <v>234</v>
      </c>
      <c r="B223">
        <v>27.967465753424701</v>
      </c>
      <c r="C223">
        <v>8.2602739726027394</v>
      </c>
      <c r="D223">
        <v>7.8424657534246602</v>
      </c>
      <c r="E223">
        <v>3.84760273972603</v>
      </c>
      <c r="F223">
        <v>0.43321917808219201</v>
      </c>
      <c r="G223">
        <v>1.2328767123287701</v>
      </c>
      <c r="H223">
        <v>585</v>
      </c>
      <c r="I223">
        <v>35.1685787671233</v>
      </c>
      <c r="J223">
        <v>37096500</v>
      </c>
      <c r="K223">
        <v>40064220</v>
      </c>
      <c r="L223">
        <v>38277449.117904402</v>
      </c>
      <c r="M223">
        <v>1786770.88209557</v>
      </c>
      <c r="P223">
        <f t="shared" si="6"/>
        <v>27.136858018181297</v>
      </c>
      <c r="Q223">
        <f t="shared" si="7"/>
        <v>8.0317207489420035</v>
      </c>
      <c r="T223" s="2">
        <v>198</v>
      </c>
      <c r="U223" s="2">
        <v>3614396.0365068782</v>
      </c>
      <c r="V223" s="2">
        <v>-293045.70317354798</v>
      </c>
      <c r="W223" s="2">
        <v>-3.9894308526037946E-2</v>
      </c>
    </row>
    <row r="224" spans="1:23" x14ac:dyDescent="0.35">
      <c r="A224" t="s">
        <v>235</v>
      </c>
      <c r="B224">
        <v>3.57099697885196</v>
      </c>
      <c r="C224">
        <v>1.58912386706949</v>
      </c>
      <c r="D224">
        <v>0.335347432024169</v>
      </c>
      <c r="E224">
        <v>0.259818731117825</v>
      </c>
      <c r="F224">
        <v>0.126888217522659</v>
      </c>
      <c r="G224">
        <v>0.14803625377643501</v>
      </c>
      <c r="H224">
        <v>331</v>
      </c>
      <c r="I224">
        <v>4.4299093655589097</v>
      </c>
      <c r="J224">
        <v>508891</v>
      </c>
      <c r="K224">
        <v>756881</v>
      </c>
      <c r="L224">
        <v>-1374183.7644553999</v>
      </c>
      <c r="M224">
        <v>2131064.7644553999</v>
      </c>
      <c r="P224">
        <f t="shared" si="6"/>
        <v>8.9182809377817289</v>
      </c>
      <c r="Q224">
        <f t="shared" si="7"/>
        <v>-4.4883715722228192</v>
      </c>
      <c r="T224" s="2">
        <v>199</v>
      </c>
      <c r="U224" s="2">
        <v>-2253891.3905999567</v>
      </c>
      <c r="V224" s="2">
        <v>3442512.0572666265</v>
      </c>
      <c r="W224" s="2">
        <v>0.46865262527281176</v>
      </c>
    </row>
    <row r="225" spans="1:23" x14ac:dyDescent="0.35">
      <c r="A225" t="s">
        <v>236</v>
      </c>
      <c r="B225">
        <v>8.5877616747182</v>
      </c>
      <c r="C225">
        <v>2.4863123993558802</v>
      </c>
      <c r="D225">
        <v>1.9645732689211</v>
      </c>
      <c r="E225">
        <v>0.838969404186795</v>
      </c>
      <c r="F225">
        <v>0.106280193236715</v>
      </c>
      <c r="G225">
        <v>0.48953301127214199</v>
      </c>
      <c r="H225">
        <v>623</v>
      </c>
      <c r="I225">
        <v>10.570772946859901</v>
      </c>
      <c r="J225">
        <v>13745455</v>
      </c>
      <c r="K225">
        <v>14424242.3333333</v>
      </c>
      <c r="L225">
        <v>6547280.4058189401</v>
      </c>
      <c r="M225">
        <v>7876961.9275143901</v>
      </c>
      <c r="P225">
        <f t="shared" si="6"/>
        <v>15.252972684201026</v>
      </c>
      <c r="Q225">
        <f t="shared" si="7"/>
        <v>-4.6821997373411257</v>
      </c>
      <c r="T225" s="2">
        <v>200</v>
      </c>
      <c r="U225" s="2">
        <v>31498944.984825447</v>
      </c>
      <c r="V225" s="2">
        <v>16150487.681841254</v>
      </c>
      <c r="W225" s="2">
        <v>2.1986759452459013</v>
      </c>
    </row>
    <row r="226" spans="1:23" x14ac:dyDescent="0.35">
      <c r="A226" t="s">
        <v>237</v>
      </c>
      <c r="B226">
        <v>3.9070512820512802</v>
      </c>
      <c r="C226">
        <v>2.7291666666666701</v>
      </c>
      <c r="D226">
        <v>0.81730769230769196</v>
      </c>
      <c r="E226">
        <v>0.29166666666666702</v>
      </c>
      <c r="F226">
        <v>0.60576923076923095</v>
      </c>
      <c r="G226">
        <v>0.24839743589743599</v>
      </c>
      <c r="H226">
        <v>627</v>
      </c>
      <c r="I226">
        <v>6.6392628205128199</v>
      </c>
      <c r="J226">
        <v>2133278</v>
      </c>
      <c r="K226">
        <v>1515527.33333333</v>
      </c>
      <c r="L226">
        <v>1475792.3018068401</v>
      </c>
      <c r="M226">
        <v>39735.031526495899</v>
      </c>
      <c r="P226">
        <f t="shared" si="6"/>
        <v>9.2699062844020066</v>
      </c>
      <c r="Q226">
        <f t="shared" si="7"/>
        <v>-2.6306434638891867</v>
      </c>
      <c r="T226" s="2">
        <v>201</v>
      </c>
      <c r="U226" s="2">
        <v>11388780.699560298</v>
      </c>
      <c r="V226" s="2">
        <v>4280862.3004397023</v>
      </c>
      <c r="W226" s="2">
        <v>0.5827829567938938</v>
      </c>
    </row>
    <row r="227" spans="1:23" x14ac:dyDescent="0.35">
      <c r="A227" t="s">
        <v>238</v>
      </c>
      <c r="B227">
        <v>1.9523809523809501</v>
      </c>
      <c r="C227">
        <v>0.61904761904761896</v>
      </c>
      <c r="D227">
        <v>0.547619047619048</v>
      </c>
      <c r="E227">
        <v>0.238095238095238</v>
      </c>
      <c r="F227">
        <v>0.16666666666666699</v>
      </c>
      <c r="G227">
        <v>0.26190476190476197</v>
      </c>
      <c r="H227">
        <v>42</v>
      </c>
      <c r="I227">
        <v>2.81666666666667</v>
      </c>
      <c r="J227">
        <v>160856</v>
      </c>
      <c r="K227">
        <v>640869.33333333302</v>
      </c>
      <c r="L227">
        <v>-3455201.20899603</v>
      </c>
      <c r="M227">
        <v>4096070.5423293598</v>
      </c>
      <c r="P227">
        <f t="shared" si="6"/>
        <v>8.8645106357169592</v>
      </c>
      <c r="Q227">
        <f t="shared" si="7"/>
        <v>-6.0478439690502892</v>
      </c>
      <c r="T227" s="2">
        <v>202</v>
      </c>
      <c r="U227" s="2">
        <v>16280133.46529506</v>
      </c>
      <c r="V227" s="2">
        <v>-6094477.4652950596</v>
      </c>
      <c r="W227" s="2">
        <v>-0.82968274802335884</v>
      </c>
    </row>
    <row r="228" spans="1:23" x14ac:dyDescent="0.35">
      <c r="A228" t="s">
        <v>239</v>
      </c>
      <c r="B228">
        <v>6.5087108013937298</v>
      </c>
      <c r="C228">
        <v>1.55400696864111</v>
      </c>
      <c r="D228">
        <v>1.26829268292683</v>
      </c>
      <c r="E228">
        <v>0.79442508710801396</v>
      </c>
      <c r="F228">
        <v>8.7108013937282194E-2</v>
      </c>
      <c r="G228">
        <v>0.31707317073170699</v>
      </c>
      <c r="H228">
        <v>287</v>
      </c>
      <c r="I228">
        <v>7.4</v>
      </c>
      <c r="J228">
        <v>2925600</v>
      </c>
      <c r="K228">
        <v>3071800</v>
      </c>
      <c r="L228">
        <v>2457112.3116915999</v>
      </c>
      <c r="M228">
        <v>614687.68830840499</v>
      </c>
      <c r="P228">
        <f t="shared" si="6"/>
        <v>9.9912238362155676</v>
      </c>
      <c r="Q228">
        <f t="shared" si="7"/>
        <v>-2.5912238362155673</v>
      </c>
      <c r="T228" s="2">
        <v>203</v>
      </c>
      <c r="U228" s="2">
        <v>4618392.7297451235</v>
      </c>
      <c r="V228" s="2">
        <v>3881607.2702548765</v>
      </c>
      <c r="W228" s="2">
        <v>0.52842964882086019</v>
      </c>
    </row>
    <row r="229" spans="1:23" x14ac:dyDescent="0.35">
      <c r="A229" t="s">
        <v>240</v>
      </c>
      <c r="B229">
        <v>13.4617996604414</v>
      </c>
      <c r="C229">
        <v>3.69779286926995</v>
      </c>
      <c r="D229">
        <v>4.1595925297113796</v>
      </c>
      <c r="E229">
        <v>1.55008488964346</v>
      </c>
      <c r="F229">
        <v>0.20713073005093399</v>
      </c>
      <c r="G229">
        <v>0.69779286926994899</v>
      </c>
      <c r="H229">
        <v>591</v>
      </c>
      <c r="I229">
        <v>17.344057724957601</v>
      </c>
      <c r="J229">
        <v>22600000</v>
      </c>
      <c r="K229">
        <v>22533333.333333299</v>
      </c>
      <c r="L229">
        <v>15284542.1890221</v>
      </c>
      <c r="M229">
        <v>7248791.1443112502</v>
      </c>
      <c r="P229">
        <f t="shared" si="6"/>
        <v>19.011459093964717</v>
      </c>
      <c r="Q229">
        <f t="shared" si="7"/>
        <v>-1.6674013690071163</v>
      </c>
      <c r="T229" s="2">
        <v>204</v>
      </c>
      <c r="U229" s="2">
        <v>17621840.12269403</v>
      </c>
      <c r="V229" s="2">
        <v>8505102.543972671</v>
      </c>
      <c r="W229" s="2">
        <v>1.1578575671314044</v>
      </c>
    </row>
    <row r="230" spans="1:23" x14ac:dyDescent="0.35">
      <c r="A230" t="s">
        <v>241</v>
      </c>
      <c r="B230">
        <v>9.9272237196765492</v>
      </c>
      <c r="C230">
        <v>2.4528301886792501</v>
      </c>
      <c r="D230">
        <v>1.1630727762803199</v>
      </c>
      <c r="E230">
        <v>0.72506738544474403</v>
      </c>
      <c r="F230">
        <v>0.10107816711590301</v>
      </c>
      <c r="G230">
        <v>0.56873315363881405</v>
      </c>
      <c r="H230">
        <v>744</v>
      </c>
      <c r="I230">
        <v>10.8780323450135</v>
      </c>
      <c r="J230">
        <v>15558035</v>
      </c>
      <c r="K230">
        <v>10694047</v>
      </c>
      <c r="L230">
        <v>6943632.5281596798</v>
      </c>
      <c r="M230">
        <v>3750414.4718403202</v>
      </c>
      <c r="P230">
        <f t="shared" si="6"/>
        <v>13.524062690948124</v>
      </c>
      <c r="Q230">
        <f t="shared" si="7"/>
        <v>-2.6460303459346246</v>
      </c>
      <c r="T230" s="2">
        <v>205</v>
      </c>
      <c r="U230" s="2">
        <v>17144567.950361609</v>
      </c>
      <c r="V230" s="2">
        <v>10795272.049638391</v>
      </c>
      <c r="W230" s="2">
        <v>1.469633948243684</v>
      </c>
    </row>
    <row r="231" spans="1:23" x14ac:dyDescent="0.35">
      <c r="A231" t="s">
        <v>242</v>
      </c>
      <c r="B231">
        <v>11.047619047618999</v>
      </c>
      <c r="C231">
        <v>2.3229166666666701</v>
      </c>
      <c r="D231">
        <v>2.78571428571429</v>
      </c>
      <c r="E231">
        <v>1.4389880952381</v>
      </c>
      <c r="F231">
        <v>0.30059523809523803</v>
      </c>
      <c r="G231">
        <v>0.55803571428571397</v>
      </c>
      <c r="H231">
        <v>674</v>
      </c>
      <c r="I231">
        <v>13.0688988095238</v>
      </c>
      <c r="J231">
        <v>9472219</v>
      </c>
      <c r="K231">
        <v>6472683</v>
      </c>
      <c r="L231">
        <v>9769761.1289186999</v>
      </c>
      <c r="M231">
        <v>-3297078.1289186999</v>
      </c>
      <c r="P231">
        <f t="shared" si="6"/>
        <v>11.567500700872332</v>
      </c>
      <c r="Q231">
        <f t="shared" si="7"/>
        <v>1.5013981086514683</v>
      </c>
      <c r="T231" s="2">
        <v>206</v>
      </c>
      <c r="U231" s="2">
        <v>8376270.1533195749</v>
      </c>
      <c r="V231" s="2">
        <v>-7180775.1533195749</v>
      </c>
      <c r="W231" s="2">
        <v>-0.97756785484407405</v>
      </c>
    </row>
    <row r="232" spans="1:23" x14ac:dyDescent="0.35">
      <c r="A232" t="s">
        <v>243</v>
      </c>
      <c r="B232">
        <v>2.79831932773109</v>
      </c>
      <c r="C232">
        <v>1.29831932773109</v>
      </c>
      <c r="D232">
        <v>0.42436974789915999</v>
      </c>
      <c r="E232">
        <v>0.45798319327731102</v>
      </c>
      <c r="F232">
        <v>9.2436974789915999E-2</v>
      </c>
      <c r="G232">
        <v>0.20168067226890801</v>
      </c>
      <c r="H232">
        <v>238</v>
      </c>
      <c r="I232">
        <v>3.6268907563025201</v>
      </c>
      <c r="J232">
        <v>2485200</v>
      </c>
      <c r="K232">
        <v>2609440</v>
      </c>
      <c r="L232">
        <v>-2410045.0984634701</v>
      </c>
      <c r="M232">
        <v>5019485.0984634701</v>
      </c>
      <c r="P232">
        <f t="shared" si="6"/>
        <v>9.7769243818848253</v>
      </c>
      <c r="Q232">
        <f t="shared" si="7"/>
        <v>-6.1500336255823047</v>
      </c>
      <c r="T232" s="2">
        <v>207</v>
      </c>
      <c r="U232" s="2">
        <v>19671974.717760667</v>
      </c>
      <c r="V232" s="2">
        <v>3611225.2822393328</v>
      </c>
      <c r="W232" s="2">
        <v>0.49162070628063304</v>
      </c>
    </row>
    <row r="233" spans="1:23" x14ac:dyDescent="0.35">
      <c r="A233" t="s">
        <v>244</v>
      </c>
      <c r="B233">
        <v>10.274738067520399</v>
      </c>
      <c r="C233">
        <v>3.3387660069848701</v>
      </c>
      <c r="D233">
        <v>4.2759022118742704</v>
      </c>
      <c r="E233">
        <v>1.8672875436554099</v>
      </c>
      <c r="F233">
        <v>0.35040745052386502</v>
      </c>
      <c r="G233">
        <v>1.4540162980209499</v>
      </c>
      <c r="H233">
        <v>861</v>
      </c>
      <c r="I233">
        <v>15.5237485448196</v>
      </c>
      <c r="J233">
        <v>17207142</v>
      </c>
      <c r="K233">
        <v>18583713.333333299</v>
      </c>
      <c r="L233">
        <v>12936417.408463201</v>
      </c>
      <c r="M233">
        <v>5647295.9248701697</v>
      </c>
      <c r="P233">
        <f t="shared" si="6"/>
        <v>17.180847858533909</v>
      </c>
      <c r="Q233">
        <f t="shared" si="7"/>
        <v>-1.6570993137143084</v>
      </c>
      <c r="T233" s="2">
        <v>208</v>
      </c>
      <c r="U233" s="2">
        <v>7083003.8748548925</v>
      </c>
      <c r="V233" s="2">
        <v>-1083003.8748548925</v>
      </c>
      <c r="W233" s="2">
        <v>-0.14743669758832237</v>
      </c>
    </row>
    <row r="234" spans="1:23" x14ac:dyDescent="0.35">
      <c r="A234" t="s">
        <v>245</v>
      </c>
      <c r="B234">
        <v>10.1005291005291</v>
      </c>
      <c r="C234">
        <v>7.1005291005290996</v>
      </c>
      <c r="D234">
        <v>1.0582010582010599</v>
      </c>
      <c r="E234">
        <v>0.97354497354497305</v>
      </c>
      <c r="F234">
        <v>0.89947089947089898</v>
      </c>
      <c r="G234">
        <v>0.66666666666666696</v>
      </c>
      <c r="H234">
        <v>189</v>
      </c>
      <c r="I234">
        <v>15.3933862433862</v>
      </c>
      <c r="J234">
        <v>3722040</v>
      </c>
      <c r="K234">
        <v>3908160</v>
      </c>
      <c r="L234">
        <v>12768255.3435863</v>
      </c>
      <c r="M234">
        <v>-8860095.3435863405</v>
      </c>
      <c r="P234">
        <f t="shared" si="6"/>
        <v>10.378868726829074</v>
      </c>
      <c r="Q234">
        <f t="shared" si="7"/>
        <v>5.0145175165571256</v>
      </c>
      <c r="T234" s="2">
        <v>209</v>
      </c>
      <c r="U234" s="2">
        <v>17227724.530927256</v>
      </c>
      <c r="V234" s="2">
        <v>-8561057.864260586</v>
      </c>
      <c r="W234" s="2">
        <v>-1.1654751461884068</v>
      </c>
    </row>
    <row r="235" spans="1:23" x14ac:dyDescent="0.35">
      <c r="A235" t="s">
        <v>246</v>
      </c>
      <c r="B235">
        <v>9.1125000000000007</v>
      </c>
      <c r="C235">
        <v>2.796875</v>
      </c>
      <c r="D235">
        <v>3.7937500000000002</v>
      </c>
      <c r="E235">
        <v>1.596875</v>
      </c>
      <c r="F235">
        <v>0.22812499999999999</v>
      </c>
      <c r="G235">
        <v>0.98750000000000004</v>
      </c>
      <c r="H235">
        <v>322</v>
      </c>
      <c r="I235">
        <v>13.2828125</v>
      </c>
      <c r="J235">
        <v>16500000</v>
      </c>
      <c r="K235">
        <v>11166666.6666667</v>
      </c>
      <c r="L235">
        <v>10045701.086255999</v>
      </c>
      <c r="M235">
        <v>1120965.58041068</v>
      </c>
      <c r="P235">
        <f t="shared" si="6"/>
        <v>13.743117403018053</v>
      </c>
      <c r="Q235">
        <f t="shared" si="7"/>
        <v>-0.46030490301805216</v>
      </c>
      <c r="T235" s="2">
        <v>210</v>
      </c>
      <c r="U235" s="2">
        <v>16782237.047983952</v>
      </c>
      <c r="V235" s="2">
        <v>2556387.6186827496</v>
      </c>
      <c r="W235" s="2">
        <v>0.34801846697433114</v>
      </c>
    </row>
    <row r="236" spans="1:23" x14ac:dyDescent="0.35">
      <c r="A236" t="s">
        <v>247</v>
      </c>
      <c r="B236">
        <v>7.7297063903281504</v>
      </c>
      <c r="C236">
        <v>3.7107081174438701</v>
      </c>
      <c r="D236">
        <v>1.1675302245250401</v>
      </c>
      <c r="E236">
        <v>1.08376511226252</v>
      </c>
      <c r="F236">
        <v>0.37737478411053499</v>
      </c>
      <c r="G236">
        <v>0.56217616580310903</v>
      </c>
      <c r="H236">
        <v>1160</v>
      </c>
      <c r="I236">
        <v>10.3310449050086</v>
      </c>
      <c r="J236">
        <v>2905851</v>
      </c>
      <c r="K236">
        <v>968617</v>
      </c>
      <c r="L236">
        <v>6238040.9855007101</v>
      </c>
      <c r="M236">
        <v>-5269423.9855007101</v>
      </c>
      <c r="P236">
        <f t="shared" si="6"/>
        <v>9.0164185562222823</v>
      </c>
      <c r="Q236">
        <f t="shared" si="7"/>
        <v>1.3146263487863177</v>
      </c>
      <c r="T236" s="2">
        <v>211</v>
      </c>
      <c r="U236" s="2">
        <v>25073415.182548493</v>
      </c>
      <c r="V236" s="2">
        <v>-12101062.849215193</v>
      </c>
      <c r="W236" s="2">
        <v>-1.6474001480706364</v>
      </c>
    </row>
    <row r="237" spans="1:23" x14ac:dyDescent="0.35">
      <c r="A237" t="s">
        <v>248</v>
      </c>
      <c r="B237">
        <v>7.1754221388367698</v>
      </c>
      <c r="C237">
        <v>6.1125703564727996</v>
      </c>
      <c r="D237">
        <v>2.1697936210131301</v>
      </c>
      <c r="E237">
        <v>1.3048780487804901</v>
      </c>
      <c r="F237">
        <v>0.73076923076923095</v>
      </c>
      <c r="G237">
        <v>0.63789868667917404</v>
      </c>
      <c r="H237">
        <v>1068</v>
      </c>
      <c r="I237">
        <v>13.157645403377099</v>
      </c>
      <c r="J237">
        <v>9080417</v>
      </c>
      <c r="K237">
        <v>3026805.6666666698</v>
      </c>
      <c r="L237">
        <v>9884240.6242104508</v>
      </c>
      <c r="M237">
        <v>-6857434.9575437801</v>
      </c>
      <c r="P237">
        <f t="shared" si="6"/>
        <v>9.9703693914510811</v>
      </c>
      <c r="Q237">
        <f t="shared" si="7"/>
        <v>3.1872760119260182</v>
      </c>
      <c r="T237" s="2">
        <v>212</v>
      </c>
      <c r="U237" s="2">
        <v>27242561.682746693</v>
      </c>
      <c r="V237" s="2">
        <v>-15967165.682746693</v>
      </c>
      <c r="W237" s="2">
        <v>-2.1737190722657256</v>
      </c>
    </row>
    <row r="238" spans="1:23" x14ac:dyDescent="0.35">
      <c r="A238" t="s">
        <v>249</v>
      </c>
      <c r="B238">
        <v>3.6887159533073901</v>
      </c>
      <c r="C238">
        <v>1.5194552529182901</v>
      </c>
      <c r="D238">
        <v>0.80739299610894899</v>
      </c>
      <c r="E238">
        <v>0.42412451361867698</v>
      </c>
      <c r="F238">
        <v>0.60116731517509703</v>
      </c>
      <c r="G238">
        <v>1.1848249027237401</v>
      </c>
      <c r="H238">
        <v>514</v>
      </c>
      <c r="I238">
        <v>6.3634241245136201</v>
      </c>
      <c r="J238">
        <v>4379526</v>
      </c>
      <c r="K238">
        <v>3551795.6666666698</v>
      </c>
      <c r="L238">
        <v>1119971.60685012</v>
      </c>
      <c r="M238">
        <v>2431824.0598165402</v>
      </c>
      <c r="P238">
        <f t="shared" si="6"/>
        <v>10.213697254002117</v>
      </c>
      <c r="Q238">
        <f t="shared" si="7"/>
        <v>-3.8502731294884969</v>
      </c>
      <c r="T238" s="2">
        <v>213</v>
      </c>
      <c r="U238" s="2">
        <v>-185640.00618015695</v>
      </c>
      <c r="V238" s="2">
        <v>1423407.3395134869</v>
      </c>
      <c r="W238" s="2">
        <v>0.19377814090366677</v>
      </c>
    </row>
    <row r="239" spans="1:23" x14ac:dyDescent="0.35">
      <c r="A239" t="s">
        <v>250</v>
      </c>
      <c r="B239">
        <v>6</v>
      </c>
      <c r="C239">
        <v>2.1681957186544301</v>
      </c>
      <c r="D239">
        <v>1.1100917431192701</v>
      </c>
      <c r="E239">
        <v>0.663608562691132</v>
      </c>
      <c r="F239">
        <v>0.23853211009174299</v>
      </c>
      <c r="G239">
        <v>0.38532110091743099</v>
      </c>
      <c r="H239">
        <v>327</v>
      </c>
      <c r="I239">
        <v>7.6366972477064197</v>
      </c>
      <c r="J239">
        <v>1017781</v>
      </c>
      <c r="K239">
        <v>912548.33333333302</v>
      </c>
      <c r="L239">
        <v>2762442.1308750599</v>
      </c>
      <c r="M239">
        <v>-1849893.7975417301</v>
      </c>
      <c r="P239">
        <f t="shared" si="6"/>
        <v>8.9904312634813035</v>
      </c>
      <c r="Q239">
        <f t="shared" si="7"/>
        <v>-1.3537340157748838</v>
      </c>
      <c r="T239" s="2">
        <v>214</v>
      </c>
      <c r="U239" s="2">
        <v>3722212.4306440391</v>
      </c>
      <c r="V239" s="2">
        <v>6527787.5693559609</v>
      </c>
      <c r="W239" s="2">
        <v>0.88867220527063917</v>
      </c>
    </row>
    <row r="240" spans="1:23" x14ac:dyDescent="0.35">
      <c r="A240" t="s">
        <v>251</v>
      </c>
      <c r="B240">
        <v>9.3082191780821901</v>
      </c>
      <c r="C240">
        <v>3.2031963470319602</v>
      </c>
      <c r="D240">
        <v>2.0707762557077598</v>
      </c>
      <c r="E240">
        <v>0.86757990867579904</v>
      </c>
      <c r="F240">
        <v>0.207762557077626</v>
      </c>
      <c r="G240">
        <v>0.50456621004566204</v>
      </c>
      <c r="H240">
        <v>438</v>
      </c>
      <c r="I240">
        <v>11.893036529680399</v>
      </c>
      <c r="J240">
        <v>1815677</v>
      </c>
      <c r="K240">
        <v>605225.66666666698</v>
      </c>
      <c r="L240">
        <v>8252946.6295183403</v>
      </c>
      <c r="M240">
        <v>-7647720.9628516799</v>
      </c>
      <c r="P240">
        <f t="shared" si="6"/>
        <v>8.8479901358531876</v>
      </c>
      <c r="Q240">
        <f t="shared" si="7"/>
        <v>3.0450463938272119</v>
      </c>
      <c r="T240" s="2">
        <v>215</v>
      </c>
      <c r="U240" s="2">
        <v>19556840.441803664</v>
      </c>
      <c r="V240" s="2">
        <v>-2296841.441803664</v>
      </c>
      <c r="W240" s="2">
        <v>-0.31268467724448906</v>
      </c>
    </row>
    <row r="241" spans="1:23" x14ac:dyDescent="0.35">
      <c r="A241" t="s">
        <v>252</v>
      </c>
      <c r="B241">
        <v>5.6023489932885902</v>
      </c>
      <c r="C241">
        <v>3.74832214765101</v>
      </c>
      <c r="D241">
        <v>0.99496644295301995</v>
      </c>
      <c r="E241">
        <v>0.57550335570469802</v>
      </c>
      <c r="F241">
        <v>0.71308724832214798</v>
      </c>
      <c r="G241">
        <v>0.355704697986577</v>
      </c>
      <c r="H241">
        <v>597</v>
      </c>
      <c r="I241">
        <v>8.9764261744966394</v>
      </c>
      <c r="J241" s="1">
        <v>9000000</v>
      </c>
      <c r="K241">
        <v>10333333.3333333</v>
      </c>
      <c r="L241">
        <v>4490637.9376935698</v>
      </c>
      <c r="M241">
        <v>5842695.3956397697</v>
      </c>
      <c r="P241">
        <f t="shared" si="6"/>
        <v>13.35687534356445</v>
      </c>
      <c r="Q241">
        <f t="shared" si="7"/>
        <v>-4.3804491690678109</v>
      </c>
      <c r="T241" s="2">
        <v>216</v>
      </c>
      <c r="U241" s="2">
        <v>35036673.467965484</v>
      </c>
      <c r="V241" s="2">
        <v>12166113.532034516</v>
      </c>
      <c r="W241" s="2">
        <v>1.6562559408091726</v>
      </c>
    </row>
    <row r="242" spans="1:23" x14ac:dyDescent="0.35">
      <c r="A242" t="s">
        <v>253</v>
      </c>
      <c r="B242">
        <v>2.9305555555555598</v>
      </c>
      <c r="C242">
        <v>2.375</v>
      </c>
      <c r="D242">
        <v>0.48611111111111099</v>
      </c>
      <c r="E242">
        <v>0.42361111111111099</v>
      </c>
      <c r="F242">
        <v>0.20833333333333301</v>
      </c>
      <c r="G242">
        <v>0.20138888888888901</v>
      </c>
      <c r="H242">
        <v>144</v>
      </c>
      <c r="I242">
        <v>4.7819444444444397</v>
      </c>
      <c r="J242">
        <v>508891</v>
      </c>
      <c r="K242">
        <v>352080</v>
      </c>
      <c r="L242">
        <v>-920072.83573148597</v>
      </c>
      <c r="M242">
        <v>1272152.83573149</v>
      </c>
      <c r="P242">
        <f t="shared" si="6"/>
        <v>8.7306595314910922</v>
      </c>
      <c r="Q242">
        <f t="shared" si="7"/>
        <v>-3.9487150870466525</v>
      </c>
      <c r="T242" s="2">
        <v>217</v>
      </c>
      <c r="U242" s="2">
        <v>-2040549.4871941535</v>
      </c>
      <c r="V242" s="2">
        <v>2083684.4871941535</v>
      </c>
      <c r="W242" s="2">
        <v>0.28366616846046377</v>
      </c>
    </row>
    <row r="243" spans="1:23" x14ac:dyDescent="0.35">
      <c r="A243" t="s">
        <v>254</v>
      </c>
      <c r="B243">
        <v>14.502873563218399</v>
      </c>
      <c r="C243">
        <v>3.97413793103448</v>
      </c>
      <c r="D243">
        <v>2.76436781609195</v>
      </c>
      <c r="E243">
        <v>1.2198275862068999</v>
      </c>
      <c r="F243">
        <v>0.60344827586206895</v>
      </c>
      <c r="G243">
        <v>1.1824712643678199</v>
      </c>
      <c r="H243">
        <v>698</v>
      </c>
      <c r="I243">
        <v>17.9968390804598</v>
      </c>
      <c r="J243">
        <v>20100000</v>
      </c>
      <c r="K243">
        <v>21700000</v>
      </c>
      <c r="L243">
        <v>16126603.578299601</v>
      </c>
      <c r="M243">
        <v>5573396.4217004199</v>
      </c>
      <c r="P243">
        <f t="shared" si="6"/>
        <v>18.625217034511167</v>
      </c>
      <c r="Q243">
        <f t="shared" si="7"/>
        <v>-0.62837795405136632</v>
      </c>
      <c r="T243" s="2">
        <v>218</v>
      </c>
      <c r="U243" s="2">
        <v>-1447956.080390716</v>
      </c>
      <c r="V243" s="2">
        <v>2862880.080390716</v>
      </c>
      <c r="W243" s="2">
        <v>0.38974337437227791</v>
      </c>
    </row>
    <row r="244" spans="1:23" x14ac:dyDescent="0.35">
      <c r="A244" t="s">
        <v>255</v>
      </c>
      <c r="B244">
        <v>12.9537100068074</v>
      </c>
      <c r="C244">
        <v>2.7753573859768501</v>
      </c>
      <c r="D244">
        <v>5.2300884955752203</v>
      </c>
      <c r="E244">
        <v>1.72089857045609</v>
      </c>
      <c r="F244">
        <v>0.19469026548672599</v>
      </c>
      <c r="G244">
        <v>1.24370319945541</v>
      </c>
      <c r="H244">
        <v>1472</v>
      </c>
      <c r="I244">
        <v>17.743601089176298</v>
      </c>
      <c r="J244">
        <v>22680000</v>
      </c>
      <c r="K244">
        <v>15680000</v>
      </c>
      <c r="L244">
        <v>15799936.872885</v>
      </c>
      <c r="M244">
        <v>-119936.872884966</v>
      </c>
      <c r="P244">
        <f t="shared" si="6"/>
        <v>15.835004397018572</v>
      </c>
      <c r="Q244">
        <f t="shared" si="7"/>
        <v>1.908596692157726</v>
      </c>
      <c r="T244" s="2">
        <v>219</v>
      </c>
      <c r="U244" s="2">
        <v>14208420.727117585</v>
      </c>
      <c r="V244" s="2">
        <v>6256695.6062157135</v>
      </c>
      <c r="W244" s="2">
        <v>0.85176660897857737</v>
      </c>
    </row>
    <row r="245" spans="1:23" x14ac:dyDescent="0.35">
      <c r="A245" t="s">
        <v>256</v>
      </c>
      <c r="B245">
        <v>5.6714975845410596</v>
      </c>
      <c r="C245">
        <v>1.26570048309179</v>
      </c>
      <c r="D245">
        <v>1.4541062801932401</v>
      </c>
      <c r="E245">
        <v>0.41304347826087001</v>
      </c>
      <c r="F245">
        <v>0.120772946859903</v>
      </c>
      <c r="G245">
        <v>0.56763285024154597</v>
      </c>
      <c r="H245">
        <v>414</v>
      </c>
      <c r="I245">
        <v>7.2021739130434801</v>
      </c>
      <c r="J245">
        <v>1563518</v>
      </c>
      <c r="K245">
        <v>1133204.66666667</v>
      </c>
      <c r="L245">
        <v>2201924.7083480801</v>
      </c>
      <c r="M245">
        <v>-1068720.0416814201</v>
      </c>
      <c r="P245">
        <f t="shared" si="6"/>
        <v>9.0927033714230738</v>
      </c>
      <c r="Q245">
        <f t="shared" si="7"/>
        <v>-1.8905294583795937</v>
      </c>
      <c r="T245" s="2">
        <v>220</v>
      </c>
      <c r="U245" s="2">
        <v>10346576.916597771</v>
      </c>
      <c r="V245" s="2">
        <v>5338608.4167355299</v>
      </c>
      <c r="W245" s="2">
        <v>0.72678114359117152</v>
      </c>
    </row>
    <row r="246" spans="1:23" x14ac:dyDescent="0.35">
      <c r="A246" t="s">
        <v>257</v>
      </c>
      <c r="B246">
        <v>6.9449339207048499</v>
      </c>
      <c r="C246">
        <v>7.5242290748898704</v>
      </c>
      <c r="D246">
        <v>0.61453744493392104</v>
      </c>
      <c r="E246">
        <v>0.65418502202643203</v>
      </c>
      <c r="F246">
        <v>1.6233480176211501</v>
      </c>
      <c r="G246">
        <v>0.86123348017621104</v>
      </c>
      <c r="H246">
        <v>457</v>
      </c>
      <c r="I246">
        <v>14.0001101321586</v>
      </c>
      <c r="J246">
        <v>17045454</v>
      </c>
      <c r="K246">
        <v>15681818</v>
      </c>
      <c r="L246">
        <v>10970985.847485499</v>
      </c>
      <c r="M246">
        <v>4710832.1525145303</v>
      </c>
      <c r="P246">
        <f t="shared" si="6"/>
        <v>15.835847022695477</v>
      </c>
      <c r="Q246">
        <f t="shared" si="7"/>
        <v>-1.8357368905368769</v>
      </c>
      <c r="T246" s="2">
        <v>221</v>
      </c>
      <c r="U246" s="2">
        <v>38271683.933183365</v>
      </c>
      <c r="V246" s="2">
        <v>1792536.0668166354</v>
      </c>
      <c r="W246" s="2">
        <v>0.24403014997043818</v>
      </c>
    </row>
    <row r="247" spans="1:23" x14ac:dyDescent="0.35">
      <c r="A247" t="s">
        <v>258</v>
      </c>
      <c r="B247">
        <v>8.3524150268336292</v>
      </c>
      <c r="C247">
        <v>2.01252236135957</v>
      </c>
      <c r="D247">
        <v>3.1771019677996399</v>
      </c>
      <c r="E247">
        <v>0.63327370304114505</v>
      </c>
      <c r="F247">
        <v>0.15026833631484801</v>
      </c>
      <c r="G247">
        <v>0.64221824686940998</v>
      </c>
      <c r="H247">
        <v>561</v>
      </c>
      <c r="I247">
        <v>11.5272808586762</v>
      </c>
      <c r="J247">
        <v>9125000</v>
      </c>
      <c r="K247">
        <v>6308642</v>
      </c>
      <c r="L247">
        <v>7781136.6952028396</v>
      </c>
      <c r="M247">
        <v>-1472494.69520284</v>
      </c>
      <c r="P247">
        <f t="shared" si="6"/>
        <v>11.491469260462544</v>
      </c>
      <c r="Q247">
        <f t="shared" si="7"/>
        <v>3.5811598213655316E-2</v>
      </c>
      <c r="T247" s="2">
        <v>222</v>
      </c>
      <c r="U247" s="2">
        <v>-1367639.4572250769</v>
      </c>
      <c r="V247" s="2">
        <v>2124520.4572250769</v>
      </c>
      <c r="W247" s="2">
        <v>0.28922544733652666</v>
      </c>
    </row>
    <row r="248" spans="1:23" x14ac:dyDescent="0.35">
      <c r="A248" t="s">
        <v>259</v>
      </c>
      <c r="B248">
        <v>7.76433121019108</v>
      </c>
      <c r="C248">
        <v>3.3290870488322701</v>
      </c>
      <c r="D248">
        <v>0.99363057324840798</v>
      </c>
      <c r="E248">
        <v>0.99575371549893799</v>
      </c>
      <c r="F248">
        <v>0.25053078556263297</v>
      </c>
      <c r="G248">
        <v>0.469214437367304</v>
      </c>
      <c r="H248">
        <v>474</v>
      </c>
      <c r="I248">
        <v>9.7020169851380107</v>
      </c>
      <c r="J248">
        <v>1878720</v>
      </c>
      <c r="K248">
        <v>626240</v>
      </c>
      <c r="L248">
        <v>5426620.5617462797</v>
      </c>
      <c r="M248">
        <v>-4800380.5617462797</v>
      </c>
      <c r="P248">
        <f t="shared" si="6"/>
        <v>8.857730079114841</v>
      </c>
      <c r="Q248">
        <f t="shared" si="7"/>
        <v>0.84428690602316969</v>
      </c>
      <c r="T248" s="2">
        <v>223</v>
      </c>
      <c r="U248" s="2">
        <v>6551365.5659130849</v>
      </c>
      <c r="V248" s="2">
        <v>7872876.7674202155</v>
      </c>
      <c r="W248" s="2">
        <v>1.071788363881697</v>
      </c>
    </row>
    <row r="249" spans="1:23" x14ac:dyDescent="0.35">
      <c r="A249" t="s">
        <v>260</v>
      </c>
      <c r="B249">
        <v>6.6438679245283003</v>
      </c>
      <c r="C249">
        <v>2.0330188679245298</v>
      </c>
      <c r="D249">
        <v>0.83018867924528295</v>
      </c>
      <c r="E249">
        <v>0.51415094339622602</v>
      </c>
      <c r="F249">
        <v>0.28301886792452802</v>
      </c>
      <c r="G249">
        <v>0.48113207547169801</v>
      </c>
      <c r="H249">
        <v>424</v>
      </c>
      <c r="I249">
        <v>7.94658018867925</v>
      </c>
      <c r="J249">
        <v>3740160</v>
      </c>
      <c r="K249">
        <v>4487303</v>
      </c>
      <c r="L249">
        <v>3162178.51671013</v>
      </c>
      <c r="M249">
        <v>1325124.48328987</v>
      </c>
      <c r="P249">
        <f t="shared" si="6"/>
        <v>10.647295988874816</v>
      </c>
      <c r="Q249">
        <f t="shared" si="7"/>
        <v>-2.7007158001955665</v>
      </c>
      <c r="T249" s="2">
        <v>224</v>
      </c>
      <c r="U249" s="2">
        <v>1481451.8596611749</v>
      </c>
      <c r="V249" s="2">
        <v>34075.473672155058</v>
      </c>
      <c r="W249" s="2">
        <v>4.6389264375009814E-3</v>
      </c>
    </row>
    <row r="250" spans="1:23" x14ac:dyDescent="0.35">
      <c r="A250" t="s">
        <v>261</v>
      </c>
      <c r="B250">
        <v>5.13197969543147</v>
      </c>
      <c r="C250">
        <v>5.1218274111675104</v>
      </c>
      <c r="D250">
        <v>0.77157360406091402</v>
      </c>
      <c r="E250">
        <v>0.65482233502538101</v>
      </c>
      <c r="F250">
        <v>0.57360406091370597</v>
      </c>
      <c r="G250">
        <v>0.55329949238578702</v>
      </c>
      <c r="H250">
        <v>197</v>
      </c>
      <c r="I250">
        <v>9.5175126903553302</v>
      </c>
      <c r="J250">
        <v>508891</v>
      </c>
      <c r="K250">
        <v>756881</v>
      </c>
      <c r="L250">
        <v>5188617.5282913297</v>
      </c>
      <c r="M250">
        <v>-4431736.5282913297</v>
      </c>
      <c r="P250">
        <f t="shared" si="6"/>
        <v>8.9182809377817289</v>
      </c>
      <c r="Q250">
        <f t="shared" si="7"/>
        <v>0.59923175257360128</v>
      </c>
      <c r="T250" s="2">
        <v>225</v>
      </c>
      <c r="U250" s="2">
        <v>-3448010.8686613278</v>
      </c>
      <c r="V250" s="2">
        <v>4088880.2019946608</v>
      </c>
      <c r="W250" s="2">
        <v>0.55664712547509487</v>
      </c>
    </row>
    <row r="251" spans="1:23" x14ac:dyDescent="0.35">
      <c r="A251" t="s">
        <v>262</v>
      </c>
      <c r="B251">
        <v>13.081145584725499</v>
      </c>
      <c r="C251">
        <v>6.2362768496419996</v>
      </c>
      <c r="D251">
        <v>1.2255369928401001</v>
      </c>
      <c r="E251">
        <v>1.34009546539379</v>
      </c>
      <c r="F251">
        <v>2.0214797136038198</v>
      </c>
      <c r="G251">
        <v>0.62768496420047704</v>
      </c>
      <c r="H251">
        <v>840</v>
      </c>
      <c r="I251">
        <v>18.004534606205201</v>
      </c>
      <c r="J251">
        <v>35096500</v>
      </c>
      <c r="K251">
        <v>25333333.333333299</v>
      </c>
      <c r="L251">
        <v>16136530.493408</v>
      </c>
      <c r="M251">
        <v>9196802.8399252892</v>
      </c>
      <c r="P251">
        <f t="shared" si="6"/>
        <v>20.309232413728715</v>
      </c>
      <c r="Q251">
        <f t="shared" si="7"/>
        <v>-2.3046978075235138</v>
      </c>
      <c r="T251" s="2">
        <v>226</v>
      </c>
      <c r="U251" s="2">
        <v>2462467.2275958993</v>
      </c>
      <c r="V251" s="2">
        <v>609332.77240410075</v>
      </c>
      <c r="W251" s="2">
        <v>8.2952622591156017E-2</v>
      </c>
    </row>
    <row r="252" spans="1:23" x14ac:dyDescent="0.35">
      <c r="A252" t="s">
        <v>263</v>
      </c>
      <c r="B252">
        <v>8.3439635535307506</v>
      </c>
      <c r="C252">
        <v>3.4350797266514799</v>
      </c>
      <c r="D252">
        <v>2.0205011389521599</v>
      </c>
      <c r="E252">
        <v>1.0797266514806401</v>
      </c>
      <c r="F252">
        <v>0.15945330296127599</v>
      </c>
      <c r="G252">
        <v>0.70615034168564905</v>
      </c>
      <c r="H252">
        <v>439</v>
      </c>
      <c r="I252">
        <v>11.352277904328</v>
      </c>
      <c r="J252">
        <v>1782621</v>
      </c>
      <c r="K252">
        <v>1237767.33333333</v>
      </c>
      <c r="L252">
        <v>7555390.0043330798</v>
      </c>
      <c r="M252">
        <v>-6317622.6709997496</v>
      </c>
      <c r="P252">
        <f t="shared" si="6"/>
        <v>9.1411671710814186</v>
      </c>
      <c r="Q252">
        <f t="shared" si="7"/>
        <v>2.2111107332465814</v>
      </c>
      <c r="T252" s="2">
        <v>227</v>
      </c>
      <c r="U252" s="2">
        <v>15285914.944965953</v>
      </c>
      <c r="V252" s="2">
        <v>7247418.3883673456</v>
      </c>
      <c r="W252" s="2">
        <v>0.9866404525698782</v>
      </c>
    </row>
    <row r="253" spans="1:23" x14ac:dyDescent="0.35">
      <c r="A253" t="s">
        <v>264</v>
      </c>
      <c r="B253">
        <v>11.236162361623601</v>
      </c>
      <c r="C253">
        <v>4.7693726937269396</v>
      </c>
      <c r="D253">
        <v>1.37453874538745</v>
      </c>
      <c r="E253">
        <v>1.19188191881919</v>
      </c>
      <c r="F253">
        <v>0.85239852398523996</v>
      </c>
      <c r="G253">
        <v>0.632841328413284</v>
      </c>
      <c r="H253">
        <v>542</v>
      </c>
      <c r="I253">
        <v>14.5064575645756</v>
      </c>
      <c r="J253">
        <v>1930681</v>
      </c>
      <c r="K253">
        <v>643560.33333333302</v>
      </c>
      <c r="L253">
        <v>11624153.4338516</v>
      </c>
      <c r="M253">
        <v>-10980593.100518299</v>
      </c>
      <c r="P253">
        <f t="shared" si="6"/>
        <v>8.865757888575347</v>
      </c>
      <c r="Q253">
        <f t="shared" si="7"/>
        <v>5.6406996760002528</v>
      </c>
      <c r="T253" s="2">
        <v>228</v>
      </c>
      <c r="U253" s="2">
        <v>6947594.6443107631</v>
      </c>
      <c r="V253" s="2">
        <v>3746452.3556892369</v>
      </c>
      <c r="W253" s="2">
        <v>0.51003008929106664</v>
      </c>
    </row>
    <row r="254" spans="1:23" x14ac:dyDescent="0.35">
      <c r="A254" t="s">
        <v>265</v>
      </c>
      <c r="B254">
        <v>3.8263888888888902</v>
      </c>
      <c r="C254">
        <v>3.0520833333333299</v>
      </c>
      <c r="D254">
        <v>0.57638888888888895</v>
      </c>
      <c r="E254">
        <v>0.45486111111111099</v>
      </c>
      <c r="F254">
        <v>0.52777777777777801</v>
      </c>
      <c r="G254">
        <v>0.28819444444444398</v>
      </c>
      <c r="H254">
        <v>288</v>
      </c>
      <c r="I254">
        <v>6.4763888888888896</v>
      </c>
      <c r="J254">
        <v>508891</v>
      </c>
      <c r="K254">
        <v>756881</v>
      </c>
      <c r="L254">
        <v>1265691.55676515</v>
      </c>
      <c r="M254">
        <v>-508810.55676514999</v>
      </c>
      <c r="P254">
        <f t="shared" si="6"/>
        <v>8.9182809377817289</v>
      </c>
      <c r="Q254">
        <f t="shared" si="7"/>
        <v>-2.4418920488928393</v>
      </c>
      <c r="T254" s="2">
        <v>229</v>
      </c>
      <c r="U254" s="2">
        <v>9772845.8989244308</v>
      </c>
      <c r="V254" s="2">
        <v>-3300162.8989244308</v>
      </c>
      <c r="W254" s="2">
        <v>-0.44927366431271126</v>
      </c>
    </row>
    <row r="255" spans="1:23" x14ac:dyDescent="0.35">
      <c r="A255" t="s">
        <v>266</v>
      </c>
      <c r="B255">
        <v>4.9489559164733201</v>
      </c>
      <c r="C255">
        <v>4.0533642691415297</v>
      </c>
      <c r="D255">
        <v>0.39907192575405998</v>
      </c>
      <c r="E255">
        <v>0.68677494199536004</v>
      </c>
      <c r="F255">
        <v>0.58700696055684498</v>
      </c>
      <c r="G255">
        <v>0.16241299303944301</v>
      </c>
      <c r="H255">
        <v>431</v>
      </c>
      <c r="I255">
        <v>7.7595127610208801</v>
      </c>
      <c r="J255">
        <v>1782621</v>
      </c>
      <c r="K255">
        <v>3927540.3333333302</v>
      </c>
      <c r="L255">
        <v>2920869.14613018</v>
      </c>
      <c r="M255">
        <v>1006671.18720316</v>
      </c>
      <c r="P255">
        <f t="shared" si="6"/>
        <v>10.387851326660549</v>
      </c>
      <c r="Q255">
        <f t="shared" si="7"/>
        <v>-2.6283385656396687</v>
      </c>
      <c r="T255" s="2">
        <v>230</v>
      </c>
      <c r="U255" s="2">
        <v>-2403179.2174207503</v>
      </c>
      <c r="V255" s="2">
        <v>5012619.2174207503</v>
      </c>
      <c r="W255" s="2">
        <v>0.68240201244275134</v>
      </c>
    </row>
    <row r="256" spans="1:23" x14ac:dyDescent="0.35">
      <c r="A256" t="s">
        <v>267</v>
      </c>
      <c r="B256">
        <v>8.5604203152364295</v>
      </c>
      <c r="C256">
        <v>2.2329246935201401</v>
      </c>
      <c r="D256">
        <v>2.1401050788091101</v>
      </c>
      <c r="E256">
        <v>1.11558669001751</v>
      </c>
      <c r="F256">
        <v>0.37653239929947502</v>
      </c>
      <c r="G256">
        <v>0.63747810858143605</v>
      </c>
      <c r="H256">
        <v>571</v>
      </c>
      <c r="I256">
        <v>10.8029772329247</v>
      </c>
      <c r="J256">
        <v>5009633</v>
      </c>
      <c r="K256">
        <v>4027745</v>
      </c>
      <c r="L256">
        <v>6846814.48728712</v>
      </c>
      <c r="M256">
        <v>-2819069.48728712</v>
      </c>
      <c r="P256">
        <f t="shared" si="6"/>
        <v>10.434295234844781</v>
      </c>
      <c r="Q256">
        <f t="shared" si="7"/>
        <v>0.36868199807991964</v>
      </c>
      <c r="T256" s="2">
        <v>231</v>
      </c>
      <c r="U256" s="2">
        <v>12938519.118575783</v>
      </c>
      <c r="V256" s="2">
        <v>5645194.2147575151</v>
      </c>
      <c r="W256" s="2">
        <v>0.76851875749758369</v>
      </c>
    </row>
    <row r="257" spans="1:23" x14ac:dyDescent="0.35">
      <c r="A257" t="s">
        <v>268</v>
      </c>
      <c r="B257">
        <v>8.9556962025316498</v>
      </c>
      <c r="C257">
        <v>4.3994374120956401</v>
      </c>
      <c r="D257">
        <v>2.7447257383966202</v>
      </c>
      <c r="E257">
        <v>1.32559774964838</v>
      </c>
      <c r="F257">
        <v>0.55977496483825595</v>
      </c>
      <c r="G257">
        <v>0.82981715893108299</v>
      </c>
      <c r="H257">
        <v>1424</v>
      </c>
      <c r="I257">
        <v>13.707841068917</v>
      </c>
      <c r="J257">
        <v>19700319</v>
      </c>
      <c r="K257">
        <v>10470379</v>
      </c>
      <c r="L257">
        <v>10593970.647278501</v>
      </c>
      <c r="M257">
        <v>-123591.64727852101</v>
      </c>
      <c r="P257">
        <f t="shared" si="6"/>
        <v>13.420394704203492</v>
      </c>
      <c r="Q257">
        <f t="shared" si="7"/>
        <v>0.28744636471350837</v>
      </c>
      <c r="T257" s="2">
        <v>232</v>
      </c>
      <c r="U257" s="2">
        <v>12770409.258095829</v>
      </c>
      <c r="V257" s="2">
        <v>-8862249.2580958288</v>
      </c>
      <c r="W257" s="2">
        <v>-1.2064783830928378</v>
      </c>
    </row>
    <row r="258" spans="1:23" x14ac:dyDescent="0.35">
      <c r="A258" t="s">
        <v>269</v>
      </c>
      <c r="B258">
        <v>21.8183760683761</v>
      </c>
      <c r="C258">
        <v>10.754273504273501</v>
      </c>
      <c r="D258">
        <v>7.1089743589743604</v>
      </c>
      <c r="E258">
        <v>2.9166666666666701</v>
      </c>
      <c r="F258">
        <v>0.71474358974358998</v>
      </c>
      <c r="G258">
        <v>1.2510683760683801</v>
      </c>
      <c r="H258">
        <v>938</v>
      </c>
      <c r="I258">
        <v>32.583653846153901</v>
      </c>
      <c r="J258">
        <v>33047803</v>
      </c>
      <c r="K258">
        <v>43290601</v>
      </c>
      <c r="L258">
        <v>34943001.141131297</v>
      </c>
      <c r="M258">
        <v>8347599.8588686502</v>
      </c>
      <c r="P258">
        <f t="shared" si="6"/>
        <v>28.632254868607539</v>
      </c>
      <c r="Q258">
        <f t="shared" si="7"/>
        <v>3.9513989775463614</v>
      </c>
      <c r="T258" s="2">
        <v>233</v>
      </c>
      <c r="U258" s="2">
        <v>10048700.193189697</v>
      </c>
      <c r="V258" s="2">
        <v>1117966.4734770022</v>
      </c>
      <c r="W258" s="2">
        <v>0.15219639439055269</v>
      </c>
    </row>
    <row r="259" spans="1:23" x14ac:dyDescent="0.35">
      <c r="A259" t="s">
        <v>270</v>
      </c>
      <c r="B259">
        <v>5.4538745387453904</v>
      </c>
      <c r="C259">
        <v>2.4870848708487099</v>
      </c>
      <c r="D259">
        <v>1.4354243542435401</v>
      </c>
      <c r="E259">
        <v>0.76014760147601501</v>
      </c>
      <c r="F259">
        <v>0.210332103321033</v>
      </c>
      <c r="G259">
        <v>0.420664206642066</v>
      </c>
      <c r="H259">
        <v>271</v>
      </c>
      <c r="I259">
        <v>7.76642066420664</v>
      </c>
      <c r="J259">
        <v>2239920</v>
      </c>
      <c r="K259">
        <v>2352040</v>
      </c>
      <c r="L259">
        <v>2929780.06018213</v>
      </c>
      <c r="M259">
        <v>-577740.06018212601</v>
      </c>
      <c r="P259">
        <f t="shared" ref="P259:P322" si="8">INTERCEPT($I$2:$I$331, $K$2:$K$331) + SLOPE($I$2:$I$331, $K$2:$K$331) * K259</f>
        <v>9.6576219345608063</v>
      </c>
      <c r="Q259">
        <f t="shared" ref="Q259:Q322" si="9">I259 - P259</f>
        <v>-1.8912012703541663</v>
      </c>
      <c r="T259" s="2">
        <v>234</v>
      </c>
      <c r="U259" s="2">
        <v>6242222.1461849213</v>
      </c>
      <c r="V259" s="2">
        <v>-5273605.1461849213</v>
      </c>
      <c r="W259" s="2">
        <v>-0.71793180540786528</v>
      </c>
    </row>
    <row r="260" spans="1:23" x14ac:dyDescent="0.35">
      <c r="A260" t="s">
        <v>271</v>
      </c>
      <c r="B260">
        <v>15.755462184874</v>
      </c>
      <c r="C260">
        <v>9.5806722689075592</v>
      </c>
      <c r="D260">
        <v>2.69579831932773</v>
      </c>
      <c r="E260">
        <v>1.6033613445378201</v>
      </c>
      <c r="F260">
        <v>0.79075630252100804</v>
      </c>
      <c r="G260">
        <v>0.77058823529411802</v>
      </c>
      <c r="H260">
        <v>1191</v>
      </c>
      <c r="I260">
        <v>22.936596638655502</v>
      </c>
      <c r="J260" s="1">
        <v>22000000</v>
      </c>
      <c r="K260">
        <v>7333333.3333333302</v>
      </c>
      <c r="L260">
        <v>22498689.847442701</v>
      </c>
      <c r="M260">
        <v>-15165356.514109399</v>
      </c>
      <c r="P260">
        <f t="shared" si="8"/>
        <v>11.966403929531612</v>
      </c>
      <c r="Q260">
        <f t="shared" si="9"/>
        <v>10.970192709123889</v>
      </c>
      <c r="T260" s="2">
        <v>235</v>
      </c>
      <c r="U260" s="2">
        <v>9887289.8550889473</v>
      </c>
      <c r="V260" s="2">
        <v>-6860484.1884222776</v>
      </c>
      <c r="W260" s="2">
        <v>-0.93396446317738957</v>
      </c>
    </row>
    <row r="261" spans="1:23" x14ac:dyDescent="0.35">
      <c r="A261" t="s">
        <v>272</v>
      </c>
      <c r="B261">
        <v>12.186774941995401</v>
      </c>
      <c r="C261">
        <v>2.4234338747099802</v>
      </c>
      <c r="D261">
        <v>1.41067285382831</v>
      </c>
      <c r="E261">
        <v>1.1508120649652001</v>
      </c>
      <c r="F261">
        <v>0.22969837587007</v>
      </c>
      <c r="G261">
        <v>0.74361948955916501</v>
      </c>
      <c r="H261">
        <v>864</v>
      </c>
      <c r="I261">
        <v>12.887412993039399</v>
      </c>
      <c r="J261">
        <v>16758621</v>
      </c>
      <c r="K261" s="1">
        <v>18000000</v>
      </c>
      <c r="L261">
        <v>9535651.8096575607</v>
      </c>
      <c r="M261">
        <v>8464348.1903424393</v>
      </c>
      <c r="P261">
        <f t="shared" si="8"/>
        <v>16.910302290537313</v>
      </c>
      <c r="Q261">
        <f t="shared" si="9"/>
        <v>-4.0228892974979136</v>
      </c>
      <c r="T261" s="2">
        <v>236</v>
      </c>
      <c r="U261" s="2">
        <v>1125741.6260313364</v>
      </c>
      <c r="V261" s="2">
        <v>2426054.0406353334</v>
      </c>
      <c r="W261" s="2">
        <v>0.33027526883964714</v>
      </c>
    </row>
    <row r="262" spans="1:23" x14ac:dyDescent="0.35">
      <c r="A262" t="s">
        <v>273</v>
      </c>
      <c r="B262">
        <v>12.542372881355901</v>
      </c>
      <c r="C262">
        <v>4.22496147919877</v>
      </c>
      <c r="D262">
        <v>1.6224961479198801</v>
      </c>
      <c r="E262">
        <v>1.3020030816640999</v>
      </c>
      <c r="F262">
        <v>0.59167950693374405</v>
      </c>
      <c r="G262">
        <v>1.2496147919876699</v>
      </c>
      <c r="H262">
        <v>650</v>
      </c>
      <c r="I262">
        <v>15.599537750385201</v>
      </c>
      <c r="J262">
        <v>17357143</v>
      </c>
      <c r="K262">
        <v>18642857</v>
      </c>
      <c r="L262">
        <v>13034182.4000533</v>
      </c>
      <c r="M262">
        <v>5608674.5999467298</v>
      </c>
      <c r="P262">
        <f t="shared" si="8"/>
        <v>17.208260384474286</v>
      </c>
      <c r="Q262">
        <f t="shared" si="9"/>
        <v>-1.6087226340890854</v>
      </c>
      <c r="T262" s="2">
        <v>237</v>
      </c>
      <c r="U262" s="2">
        <v>2767702.2598896809</v>
      </c>
      <c r="V262" s="2">
        <v>-1855153.9265563479</v>
      </c>
      <c r="W262" s="2">
        <v>-0.25255474592473148</v>
      </c>
    </row>
    <row r="263" spans="1:23" x14ac:dyDescent="0.35">
      <c r="A263" t="s">
        <v>274</v>
      </c>
      <c r="B263">
        <v>8.4977876106194703</v>
      </c>
      <c r="C263">
        <v>3.4845132743362801</v>
      </c>
      <c r="D263">
        <v>1.18141592920354</v>
      </c>
      <c r="E263">
        <v>0.73230088495575196</v>
      </c>
      <c r="F263">
        <v>0.356194690265487</v>
      </c>
      <c r="G263">
        <v>0.46460176991150398</v>
      </c>
      <c r="H263">
        <v>452</v>
      </c>
      <c r="I263">
        <v>10.797013274336299</v>
      </c>
      <c r="J263">
        <v>5348280</v>
      </c>
      <c r="K263">
        <v>7107250.6666666698</v>
      </c>
      <c r="L263">
        <v>6839121.2233600402</v>
      </c>
      <c r="M263">
        <v>268129.44330662198</v>
      </c>
      <c r="P263">
        <f t="shared" si="8"/>
        <v>11.86161676779551</v>
      </c>
      <c r="Q263">
        <f t="shared" si="9"/>
        <v>-1.0646034934592112</v>
      </c>
      <c r="T263" s="2">
        <v>238</v>
      </c>
      <c r="U263" s="2">
        <v>8256502.280910721</v>
      </c>
      <c r="V263" s="2">
        <v>-7651276.6142440541</v>
      </c>
      <c r="W263" s="2">
        <v>-1.0416204249408161</v>
      </c>
    </row>
    <row r="264" spans="1:23" x14ac:dyDescent="0.35">
      <c r="A264" t="s">
        <v>275</v>
      </c>
      <c r="B264">
        <v>6.6271777003484296</v>
      </c>
      <c r="C264">
        <v>2.5505226480836201</v>
      </c>
      <c r="D264">
        <v>1.03135888501742</v>
      </c>
      <c r="E264">
        <v>0.65853658536585402</v>
      </c>
      <c r="F264">
        <v>0.35540069686411202</v>
      </c>
      <c r="G264">
        <v>0.51219512195121997</v>
      </c>
      <c r="H264">
        <v>287</v>
      </c>
      <c r="I264">
        <v>8.5804878048780502</v>
      </c>
      <c r="J264">
        <v>3918360</v>
      </c>
      <c r="K264">
        <v>4114280</v>
      </c>
      <c r="L264">
        <v>3979893.5501906499</v>
      </c>
      <c r="M264">
        <v>134386.44980934999</v>
      </c>
      <c r="P264">
        <f t="shared" si="8"/>
        <v>10.474403382782558</v>
      </c>
      <c r="Q264">
        <f t="shared" si="9"/>
        <v>-1.893915577904508</v>
      </c>
      <c r="T264" s="2">
        <v>239</v>
      </c>
      <c r="U264" s="2">
        <v>4495361.5639004</v>
      </c>
      <c r="V264" s="2">
        <v>5837971.7694329005</v>
      </c>
      <c r="W264" s="2">
        <v>0.79476287969363713</v>
      </c>
    </row>
    <row r="265" spans="1:23" x14ac:dyDescent="0.35">
      <c r="A265" t="s">
        <v>276</v>
      </c>
      <c r="B265">
        <v>9.30626450116009</v>
      </c>
      <c r="C265">
        <v>6.1113689095127599</v>
      </c>
      <c r="D265">
        <v>1.3573085846867701</v>
      </c>
      <c r="E265">
        <v>0.95359628770301597</v>
      </c>
      <c r="F265">
        <v>0.94431554524361905</v>
      </c>
      <c r="G265">
        <v>0.64501160092807397</v>
      </c>
      <c r="H265">
        <v>431</v>
      </c>
      <c r="I265">
        <v>14.338631090487199</v>
      </c>
      <c r="J265">
        <v>6395160</v>
      </c>
      <c r="K265">
        <v>8440571</v>
      </c>
      <c r="L265">
        <v>11407664.1105319</v>
      </c>
      <c r="M265">
        <v>-2967093.1105318498</v>
      </c>
      <c r="P265">
        <f t="shared" si="8"/>
        <v>12.479598037545093</v>
      </c>
      <c r="Q265">
        <f t="shared" si="9"/>
        <v>1.859033052942106</v>
      </c>
      <c r="T265" s="2">
        <v>240</v>
      </c>
      <c r="U265" s="2">
        <v>-913669.50314498041</v>
      </c>
      <c r="V265" s="2">
        <v>1265749.5031449804</v>
      </c>
      <c r="W265" s="2">
        <v>0.17231510528321975</v>
      </c>
    </row>
    <row r="266" spans="1:23" x14ac:dyDescent="0.35">
      <c r="A266" t="s">
        <v>277</v>
      </c>
      <c r="B266">
        <v>3.44394618834081</v>
      </c>
      <c r="C266">
        <v>1.6726457399103101</v>
      </c>
      <c r="D266">
        <v>0.86098654708520195</v>
      </c>
      <c r="E266">
        <v>0.47982062780269102</v>
      </c>
      <c r="F266">
        <v>0.15695067264574</v>
      </c>
      <c r="G266">
        <v>0.23318385650224199</v>
      </c>
      <c r="H266">
        <v>223</v>
      </c>
      <c r="I266">
        <v>4.9322869955156996</v>
      </c>
      <c r="J266">
        <v>4569840</v>
      </c>
      <c r="K266">
        <v>4798440</v>
      </c>
      <c r="L266">
        <v>-726137.06174605305</v>
      </c>
      <c r="M266">
        <v>5524577.0617460497</v>
      </c>
      <c r="P266">
        <f t="shared" si="8"/>
        <v>10.791505023657464</v>
      </c>
      <c r="Q266">
        <f t="shared" si="9"/>
        <v>-5.8592180281417647</v>
      </c>
      <c r="T266" s="2">
        <v>241</v>
      </c>
      <c r="U266" s="2">
        <v>16127714.923876682</v>
      </c>
      <c r="V266" s="2">
        <v>5572285.0761233177</v>
      </c>
      <c r="W266" s="2">
        <v>0.75859313961770725</v>
      </c>
    </row>
    <row r="267" spans="1:23" x14ac:dyDescent="0.35">
      <c r="A267" t="s">
        <v>278</v>
      </c>
      <c r="B267">
        <v>21.8867924528302</v>
      </c>
      <c r="C267">
        <v>7.2037735849056599</v>
      </c>
      <c r="D267">
        <v>4.5245283018867903</v>
      </c>
      <c r="E267">
        <v>2.9018867924528302</v>
      </c>
      <c r="F267">
        <v>0.59622641509434005</v>
      </c>
      <c r="G267">
        <v>0.82641509433962301</v>
      </c>
      <c r="H267">
        <v>265</v>
      </c>
      <c r="I267">
        <v>26.674339622641501</v>
      </c>
      <c r="J267">
        <v>11055120</v>
      </c>
      <c r="K267">
        <v>11608000</v>
      </c>
      <c r="L267">
        <v>27320226.221495599</v>
      </c>
      <c r="M267">
        <v>-15712226.2214956</v>
      </c>
      <c r="P267">
        <f t="shared" si="8"/>
        <v>13.947671197704647</v>
      </c>
      <c r="Q267">
        <f t="shared" si="9"/>
        <v>12.726668424936854</v>
      </c>
      <c r="T267" s="2">
        <v>242</v>
      </c>
      <c r="U267" s="2">
        <v>15801149.62919567</v>
      </c>
      <c r="V267" s="2">
        <v>-121149.62919566967</v>
      </c>
      <c r="W267" s="2">
        <v>-1.6492924593693246E-2</v>
      </c>
    </row>
    <row r="268" spans="1:23" x14ac:dyDescent="0.35">
      <c r="A268" t="s">
        <v>279</v>
      </c>
      <c r="B268">
        <v>17.195754716981099</v>
      </c>
      <c r="C268">
        <v>6.2358490566037696</v>
      </c>
      <c r="D268">
        <v>3.3301886792452802</v>
      </c>
      <c r="E268">
        <v>1.6898584905660401</v>
      </c>
      <c r="F268">
        <v>0.54952830188679203</v>
      </c>
      <c r="G268">
        <v>0.88443396226415105</v>
      </c>
      <c r="H268">
        <v>850</v>
      </c>
      <c r="I268">
        <v>21.804716981132099</v>
      </c>
      <c r="J268">
        <v>35448672</v>
      </c>
      <c r="K268">
        <v>24447360</v>
      </c>
      <c r="L268">
        <v>21038611.1413408</v>
      </c>
      <c r="M268">
        <v>3408748.8586591599</v>
      </c>
      <c r="P268">
        <f t="shared" si="8"/>
        <v>19.898592215863598</v>
      </c>
      <c r="Q268">
        <f t="shared" si="9"/>
        <v>1.9061247652685012</v>
      </c>
      <c r="T268" s="2">
        <v>243</v>
      </c>
      <c r="U268" s="2">
        <v>2207358.8449432179</v>
      </c>
      <c r="V268" s="2">
        <v>-1074154.1782765479</v>
      </c>
      <c r="W268" s="2">
        <v>-0.14623192808706401</v>
      </c>
    </row>
    <row r="269" spans="1:23" x14ac:dyDescent="0.35">
      <c r="A269" t="s">
        <v>280</v>
      </c>
      <c r="B269">
        <v>4.7438105489773896</v>
      </c>
      <c r="C269">
        <v>2.7104413347685701</v>
      </c>
      <c r="D269">
        <v>1.08934337997847</v>
      </c>
      <c r="E269">
        <v>0.43595263724434902</v>
      </c>
      <c r="F269">
        <v>0.21313240043057</v>
      </c>
      <c r="G269">
        <v>0.36598493003229299</v>
      </c>
      <c r="H269">
        <v>931</v>
      </c>
      <c r="I269">
        <v>7.1766953713670603</v>
      </c>
      <c r="J269">
        <v>5728393</v>
      </c>
      <c r="K269">
        <v>8192043.6666666698</v>
      </c>
      <c r="L269">
        <v>2169058.4262155299</v>
      </c>
      <c r="M269">
        <v>6022985.2404511403</v>
      </c>
      <c r="P269">
        <f t="shared" si="8"/>
        <v>12.36440798667649</v>
      </c>
      <c r="Q269">
        <f t="shared" si="9"/>
        <v>-5.1877126153094295</v>
      </c>
      <c r="T269" s="2">
        <v>244</v>
      </c>
      <c r="U269" s="2">
        <v>10973697.708106915</v>
      </c>
      <c r="V269" s="2">
        <v>4708120.2918930855</v>
      </c>
      <c r="W269" s="2">
        <v>0.6409484987099342</v>
      </c>
    </row>
    <row r="270" spans="1:23" x14ac:dyDescent="0.35">
      <c r="A270" t="s">
        <v>281</v>
      </c>
      <c r="B270">
        <v>8.9285714285714306</v>
      </c>
      <c r="C270">
        <v>3.7967032967033001</v>
      </c>
      <c r="D270">
        <v>1.3818681318681301</v>
      </c>
      <c r="E270">
        <v>1.25824175824176</v>
      </c>
      <c r="F270">
        <v>0.59615384615384603</v>
      </c>
      <c r="G270">
        <v>0.77472527472527497</v>
      </c>
      <c r="H270">
        <v>364</v>
      </c>
      <c r="I270">
        <v>11.8574175824176</v>
      </c>
      <c r="J270">
        <v>7775400</v>
      </c>
      <c r="K270">
        <v>10194936</v>
      </c>
      <c r="L270">
        <v>8206999.6367559303</v>
      </c>
      <c r="M270">
        <v>1987936.36324407</v>
      </c>
      <c r="P270">
        <f t="shared" si="8"/>
        <v>13.292729498305007</v>
      </c>
      <c r="Q270">
        <f t="shared" si="9"/>
        <v>-1.4353119158874073</v>
      </c>
      <c r="T270" s="2">
        <v>245</v>
      </c>
      <c r="U270" s="2">
        <v>7784838.8157356977</v>
      </c>
      <c r="V270" s="2">
        <v>-1476196.8157356977</v>
      </c>
      <c r="W270" s="2">
        <v>-0.20096473203443521</v>
      </c>
    </row>
    <row r="271" spans="1:23" x14ac:dyDescent="0.35">
      <c r="A271" t="s">
        <v>282</v>
      </c>
      <c r="B271">
        <v>19.297063903281501</v>
      </c>
      <c r="C271">
        <v>6.0129533678756504</v>
      </c>
      <c r="D271">
        <v>3.50518134715026</v>
      </c>
      <c r="E271">
        <v>2.5423143350604498</v>
      </c>
      <c r="F271">
        <v>0.42487046632124398</v>
      </c>
      <c r="G271">
        <v>1.58376511226252</v>
      </c>
      <c r="H271">
        <v>1161</v>
      </c>
      <c r="I271">
        <v>23.525820379965499</v>
      </c>
      <c r="J271">
        <v>42492492</v>
      </c>
      <c r="K271">
        <v>45640084</v>
      </c>
      <c r="L271">
        <v>23258764.500342499</v>
      </c>
      <c r="M271">
        <v>22381319.499657501</v>
      </c>
      <c r="P271">
        <f t="shared" si="8"/>
        <v>29.721217851692924</v>
      </c>
      <c r="Q271">
        <f t="shared" si="9"/>
        <v>-6.1953974717274249</v>
      </c>
      <c r="T271" s="2">
        <v>246</v>
      </c>
      <c r="U271" s="2">
        <v>5431053.6205857862</v>
      </c>
      <c r="V271" s="2">
        <v>-4804813.6205857862</v>
      </c>
      <c r="W271" s="2">
        <v>-0.65411202045927619</v>
      </c>
    </row>
    <row r="272" spans="1:23" x14ac:dyDescent="0.35">
      <c r="A272" t="s">
        <v>283</v>
      </c>
      <c r="B272">
        <v>3.6603375527426198</v>
      </c>
      <c r="C272">
        <v>3.0358649789029499</v>
      </c>
      <c r="D272">
        <v>0.63713080168776404</v>
      </c>
      <c r="E272">
        <v>0.50210970464134996</v>
      </c>
      <c r="F272">
        <v>0.512658227848101</v>
      </c>
      <c r="G272">
        <v>0.575949367088608</v>
      </c>
      <c r="H272">
        <v>474</v>
      </c>
      <c r="I272">
        <v>6.6486286919831201</v>
      </c>
      <c r="J272">
        <v>1782621</v>
      </c>
      <c r="K272">
        <v>594207</v>
      </c>
      <c r="L272">
        <v>1487873.89493997</v>
      </c>
      <c r="M272">
        <v>-893666.89493997395</v>
      </c>
      <c r="P272">
        <f t="shared" si="8"/>
        <v>8.8428830888462695</v>
      </c>
      <c r="Q272">
        <f t="shared" si="9"/>
        <v>-2.1942543968631494</v>
      </c>
      <c r="T272" s="2">
        <v>247</v>
      </c>
      <c r="U272" s="2">
        <v>3167314.5511675756</v>
      </c>
      <c r="V272" s="2">
        <v>1319988.4488324244</v>
      </c>
      <c r="W272" s="2">
        <v>0.17969902256966583</v>
      </c>
    </row>
    <row r="273" spans="1:23" x14ac:dyDescent="0.35">
      <c r="A273" t="s">
        <v>284</v>
      </c>
      <c r="B273">
        <v>8.8962264150943398</v>
      </c>
      <c r="C273">
        <v>2.54905660377359</v>
      </c>
      <c r="D273">
        <v>2.5830188679245301</v>
      </c>
      <c r="E273">
        <v>0.752830188679245</v>
      </c>
      <c r="F273">
        <v>8.6792452830188702E-2</v>
      </c>
      <c r="G273">
        <v>0.48679245283018902</v>
      </c>
      <c r="H273">
        <v>530</v>
      </c>
      <c r="I273">
        <v>11.491603773584901</v>
      </c>
      <c r="J273">
        <v>2239200</v>
      </c>
      <c r="K273">
        <v>4078499.3333333302</v>
      </c>
      <c r="L273">
        <v>7735114.7070070496</v>
      </c>
      <c r="M273">
        <v>-3656615.3736737198</v>
      </c>
      <c r="P273">
        <f t="shared" si="8"/>
        <v>10.45781938472421</v>
      </c>
      <c r="Q273">
        <f t="shared" si="9"/>
        <v>1.0337843888606901</v>
      </c>
      <c r="T273" s="2">
        <v>248</v>
      </c>
      <c r="U273" s="2">
        <v>5193124.4730268586</v>
      </c>
      <c r="V273" s="2">
        <v>-4436243.4730268586</v>
      </c>
      <c r="W273" s="2">
        <v>-0.60393605465951405</v>
      </c>
    </row>
    <row r="274" spans="1:23" x14ac:dyDescent="0.35">
      <c r="A274" t="s">
        <v>285</v>
      </c>
      <c r="B274">
        <v>6.7370129870129896</v>
      </c>
      <c r="C274">
        <v>2.82467532467532</v>
      </c>
      <c r="D274">
        <v>1.0324675324675301</v>
      </c>
      <c r="E274">
        <v>0.78896103896103897</v>
      </c>
      <c r="F274">
        <v>0.88961038961038996</v>
      </c>
      <c r="G274">
        <v>0.53571428571428603</v>
      </c>
      <c r="H274">
        <v>308</v>
      </c>
      <c r="I274">
        <v>9.3758116883116909</v>
      </c>
      <c r="J274">
        <v>2193960</v>
      </c>
      <c r="K274">
        <v>2303680</v>
      </c>
      <c r="L274">
        <v>5005829.0009580301</v>
      </c>
      <c r="M274">
        <v>-2702149.0009580301</v>
      </c>
      <c r="P274">
        <f t="shared" si="8"/>
        <v>9.6352075353665967</v>
      </c>
      <c r="Q274">
        <f t="shared" si="9"/>
        <v>-0.25939584705490581</v>
      </c>
      <c r="T274" s="2">
        <v>249</v>
      </c>
      <c r="U274" s="2">
        <v>16137638.757263748</v>
      </c>
      <c r="V274" s="2">
        <v>9195694.5760695506</v>
      </c>
      <c r="W274" s="2">
        <v>1.2518725664838444</v>
      </c>
    </row>
    <row r="275" spans="1:23" x14ac:dyDescent="0.35">
      <c r="A275" t="s">
        <v>286</v>
      </c>
      <c r="B275">
        <v>6.7489082969432301</v>
      </c>
      <c r="C275">
        <v>5.0240174672489104</v>
      </c>
      <c r="D275">
        <v>0.86899563318777295</v>
      </c>
      <c r="E275">
        <v>0.85371179039301304</v>
      </c>
      <c r="F275">
        <v>0.57423580786026196</v>
      </c>
      <c r="G275">
        <v>0.52620087336244503</v>
      </c>
      <c r="H275">
        <v>458</v>
      </c>
      <c r="I275">
        <v>10.623471615720501</v>
      </c>
      <c r="J275">
        <v>2840160</v>
      </c>
      <c r="K275">
        <v>4498515.6666666698</v>
      </c>
      <c r="L275">
        <v>6615259.5445302604</v>
      </c>
      <c r="M275">
        <v>-2116743.8778635901</v>
      </c>
      <c r="P275">
        <f t="shared" si="8"/>
        <v>10.652492953033178</v>
      </c>
      <c r="Q275">
        <f t="shared" si="9"/>
        <v>-2.9021337312677531E-2</v>
      </c>
      <c r="T275" s="2">
        <v>250</v>
      </c>
      <c r="U275" s="2">
        <v>7559162.2058908977</v>
      </c>
      <c r="V275" s="2">
        <v>-6321394.8725575674</v>
      </c>
      <c r="W275" s="2">
        <v>-0.86057456099731633</v>
      </c>
    </row>
    <row r="276" spans="1:23" x14ac:dyDescent="0.35">
      <c r="A276" t="s">
        <v>287</v>
      </c>
      <c r="B276">
        <v>9.4768786127167601</v>
      </c>
      <c r="C276">
        <v>2.8497109826589599</v>
      </c>
      <c r="D276">
        <v>2.0231213872832399</v>
      </c>
      <c r="E276">
        <v>1.0982658959537599</v>
      </c>
      <c r="F276">
        <v>0.26300578034682098</v>
      </c>
      <c r="G276">
        <v>0.72832369942196495</v>
      </c>
      <c r="H276">
        <v>346</v>
      </c>
      <c r="I276">
        <v>11.852745664739899</v>
      </c>
      <c r="J276">
        <v>2277000</v>
      </c>
      <c r="K276">
        <v>2986467.3333333302</v>
      </c>
      <c r="L276">
        <v>8200973.0530351903</v>
      </c>
      <c r="M276">
        <v>-5214505.7197018499</v>
      </c>
      <c r="P276">
        <f t="shared" si="8"/>
        <v>9.9516729583211685</v>
      </c>
      <c r="Q276">
        <f t="shared" si="9"/>
        <v>1.9010727064187307</v>
      </c>
      <c r="T276" s="2">
        <v>251</v>
      </c>
      <c r="U276" s="2">
        <v>11626662.52448439</v>
      </c>
      <c r="V276" s="2">
        <v>-10983102.191151056</v>
      </c>
      <c r="W276" s="2">
        <v>-1.4952045453718661</v>
      </c>
    </row>
    <row r="277" spans="1:23" x14ac:dyDescent="0.35">
      <c r="A277" t="s">
        <v>288</v>
      </c>
      <c r="B277">
        <v>4.2882882882882898</v>
      </c>
      <c r="C277">
        <v>1.06306306306306</v>
      </c>
      <c r="D277">
        <v>1.1981981981981999</v>
      </c>
      <c r="E277">
        <v>0.51351351351351304</v>
      </c>
      <c r="F277">
        <v>9.90990990990991E-2</v>
      </c>
      <c r="G277">
        <v>0.42342342342342298</v>
      </c>
      <c r="H277">
        <v>111</v>
      </c>
      <c r="I277">
        <v>5.5306306306306299</v>
      </c>
      <c r="J277">
        <v>219630</v>
      </c>
      <c r="K277">
        <v>255659.66666666701</v>
      </c>
      <c r="L277">
        <v>45701.883106471003</v>
      </c>
      <c r="M277">
        <v>209957.783560196</v>
      </c>
      <c r="P277">
        <f t="shared" si="8"/>
        <v>8.6859696257472514</v>
      </c>
      <c r="Q277">
        <f t="shared" si="9"/>
        <v>-3.1553389951166215</v>
      </c>
      <c r="T277" s="2">
        <v>252</v>
      </c>
      <c r="U277" s="2">
        <v>1271416.3385016397</v>
      </c>
      <c r="V277" s="2">
        <v>-514535.33850163966</v>
      </c>
      <c r="W277" s="2">
        <v>-7.0047201919139671E-2</v>
      </c>
    </row>
    <row r="278" spans="1:23" x14ac:dyDescent="0.35">
      <c r="A278" t="s">
        <v>289</v>
      </c>
      <c r="B278">
        <v>17.8953974895398</v>
      </c>
      <c r="C278">
        <v>5.2426778242677798</v>
      </c>
      <c r="D278">
        <v>3.1213389121338899</v>
      </c>
      <c r="E278">
        <v>2.0690376569037698</v>
      </c>
      <c r="F278">
        <v>0.26987447698744799</v>
      </c>
      <c r="G278">
        <v>0.65062761506276101</v>
      </c>
      <c r="H278">
        <v>478</v>
      </c>
      <c r="I278">
        <v>20.623012552301301</v>
      </c>
      <c r="J278">
        <v>10900634</v>
      </c>
      <c r="K278">
        <v>20193068.666666701</v>
      </c>
      <c r="L278">
        <v>19514260.507442798</v>
      </c>
      <c r="M278">
        <v>678808.15922390996</v>
      </c>
      <c r="P278">
        <f t="shared" si="8"/>
        <v>17.926768720541041</v>
      </c>
      <c r="Q278">
        <f t="shared" si="9"/>
        <v>2.6962438317602597</v>
      </c>
      <c r="T278" s="2">
        <v>253</v>
      </c>
      <c r="U278" s="2">
        <v>2926080.0929061975</v>
      </c>
      <c r="V278" s="2">
        <v>1001460.2404271327</v>
      </c>
      <c r="W278" s="2">
        <v>0.13633560695650057</v>
      </c>
    </row>
    <row r="279" spans="1:23" x14ac:dyDescent="0.35">
      <c r="A279" t="s">
        <v>290</v>
      </c>
      <c r="B279">
        <v>5.83705650459921</v>
      </c>
      <c r="C279">
        <v>3.6570302233902798</v>
      </c>
      <c r="D279">
        <v>0.66491458607095899</v>
      </c>
      <c r="E279">
        <v>0.59526938239159</v>
      </c>
      <c r="F279">
        <v>0.62943495400788396</v>
      </c>
      <c r="G279">
        <v>0.35216819973718799</v>
      </c>
      <c r="H279">
        <v>763</v>
      </c>
      <c r="I279">
        <v>8.6522996057818702</v>
      </c>
      <c r="J279">
        <v>11215260</v>
      </c>
      <c r="K279">
        <v>12046020</v>
      </c>
      <c r="L279">
        <v>4072527.8515932499</v>
      </c>
      <c r="M279">
        <v>7973492.1484067496</v>
      </c>
      <c r="P279">
        <f t="shared" si="8"/>
        <v>14.15068929396287</v>
      </c>
      <c r="Q279">
        <f t="shared" si="9"/>
        <v>-5.4983896881809997</v>
      </c>
      <c r="T279" s="2">
        <v>254</v>
      </c>
      <c r="U279" s="2">
        <v>6850806.6597261131</v>
      </c>
      <c r="V279" s="2">
        <v>-2823061.6597261131</v>
      </c>
      <c r="W279" s="2">
        <v>-0.38432262142551837</v>
      </c>
    </row>
    <row r="280" spans="1:23" x14ac:dyDescent="0.35">
      <c r="A280" t="s">
        <v>291</v>
      </c>
      <c r="B280">
        <v>7.1210106382978697</v>
      </c>
      <c r="C280">
        <v>4.6582446808510598</v>
      </c>
      <c r="D280">
        <v>2.31914893617021</v>
      </c>
      <c r="E280">
        <v>1.0252659574468099</v>
      </c>
      <c r="F280">
        <v>0.41090425531914898</v>
      </c>
      <c r="G280">
        <v>0.8125</v>
      </c>
      <c r="H280">
        <v>754</v>
      </c>
      <c r="I280">
        <v>12.0972739361702</v>
      </c>
      <c r="J280">
        <v>9200000</v>
      </c>
      <c r="K280">
        <v>6233333.3333333302</v>
      </c>
      <c r="L280">
        <v>8516404.5742063709</v>
      </c>
      <c r="M280">
        <v>-2283071.2408730299</v>
      </c>
      <c r="P280">
        <f t="shared" si="8"/>
        <v>11.4565644110529</v>
      </c>
      <c r="Q280">
        <f t="shared" si="9"/>
        <v>0.64070952511730006</v>
      </c>
      <c r="T280" s="2">
        <v>255</v>
      </c>
      <c r="U280" s="2">
        <v>10596799.548869876</v>
      </c>
      <c r="V280" s="2">
        <v>-126420.54886987619</v>
      </c>
      <c r="W280" s="2">
        <v>-1.7210490807500606E-2</v>
      </c>
    </row>
    <row r="281" spans="1:23" x14ac:dyDescent="0.35">
      <c r="A281" t="s">
        <v>292</v>
      </c>
      <c r="B281">
        <v>11.5821033210332</v>
      </c>
      <c r="C281">
        <v>10.688191881918801</v>
      </c>
      <c r="D281">
        <v>1.25461254612546</v>
      </c>
      <c r="E281">
        <v>1.4778597785977901</v>
      </c>
      <c r="F281">
        <v>1.8404059040590399</v>
      </c>
      <c r="G281">
        <v>0.65129151291512899</v>
      </c>
      <c r="H281">
        <v>1086</v>
      </c>
      <c r="I281">
        <v>20.244511070110701</v>
      </c>
      <c r="J281">
        <v>38172414</v>
      </c>
      <c r="K281" s="1">
        <v>41000000</v>
      </c>
      <c r="L281">
        <v>19026008.9952779</v>
      </c>
      <c r="M281">
        <v>21973991.0047221</v>
      </c>
      <c r="P281">
        <f t="shared" si="8"/>
        <v>27.570583131455852</v>
      </c>
      <c r="Q281">
        <f t="shared" si="9"/>
        <v>-7.3260720613451511</v>
      </c>
      <c r="T281" s="2">
        <v>256</v>
      </c>
      <c r="U281" s="2">
        <v>34938271.105723202</v>
      </c>
      <c r="V281" s="2">
        <v>8352329.8942767978</v>
      </c>
      <c r="W281" s="2">
        <v>1.1370595852626921</v>
      </c>
    </row>
    <row r="282" spans="1:23" x14ac:dyDescent="0.35">
      <c r="A282" t="s">
        <v>293</v>
      </c>
      <c r="B282">
        <v>12.095860566448801</v>
      </c>
      <c r="C282">
        <v>4.4858387799564303</v>
      </c>
      <c r="D282">
        <v>1.15686274509804</v>
      </c>
      <c r="E282">
        <v>0.85185185185185197</v>
      </c>
      <c r="F282">
        <v>0.27450980392156898</v>
      </c>
      <c r="G282">
        <v>0.57080610021786504</v>
      </c>
      <c r="H282">
        <v>459</v>
      </c>
      <c r="I282">
        <v>14.2368191721133</v>
      </c>
      <c r="J282">
        <v>6263188</v>
      </c>
      <c r="K282">
        <v>4916602.3333333302</v>
      </c>
      <c r="L282">
        <v>11276330.8781894</v>
      </c>
      <c r="M282">
        <v>-6359728.5448561003</v>
      </c>
      <c r="P282">
        <f t="shared" si="8"/>
        <v>10.846272139229269</v>
      </c>
      <c r="Q282">
        <f t="shared" si="9"/>
        <v>3.3905470328840313</v>
      </c>
      <c r="T282" s="2">
        <v>257</v>
      </c>
      <c r="U282" s="2">
        <v>2934988.2406452168</v>
      </c>
      <c r="V282" s="2">
        <v>-582948.24064521678</v>
      </c>
      <c r="W282" s="2">
        <v>-7.9360716486050642E-2</v>
      </c>
    </row>
    <row r="283" spans="1:23" x14ac:dyDescent="0.35">
      <c r="A283" t="s">
        <v>294</v>
      </c>
      <c r="B283">
        <v>20.133507853403099</v>
      </c>
      <c r="C283">
        <v>6.6263089005235596</v>
      </c>
      <c r="D283">
        <v>7.5759162303664898</v>
      </c>
      <c r="E283">
        <v>3.7401832460733</v>
      </c>
      <c r="F283">
        <v>0.30955497382198999</v>
      </c>
      <c r="G283">
        <v>1.5143979057591599</v>
      </c>
      <c r="H283">
        <v>1531</v>
      </c>
      <c r="I283">
        <v>27.9309554973822</v>
      </c>
      <c r="J283">
        <v>47080179</v>
      </c>
      <c r="K283">
        <v>15693393</v>
      </c>
      <c r="L283">
        <v>28941209.5727407</v>
      </c>
      <c r="M283">
        <v>-13247816.5727407</v>
      </c>
      <c r="P283">
        <f t="shared" si="8"/>
        <v>15.841211924901287</v>
      </c>
      <c r="Q283">
        <f t="shared" si="9"/>
        <v>12.089743572480913</v>
      </c>
      <c r="T283" s="2">
        <v>258</v>
      </c>
      <c r="U283" s="2">
        <v>22497823.036284715</v>
      </c>
      <c r="V283" s="2">
        <v>-15164489.702951385</v>
      </c>
      <c r="W283" s="2">
        <v>-2.0644453213196843</v>
      </c>
    </row>
    <row r="284" spans="1:23" x14ac:dyDescent="0.35">
      <c r="A284" t="s">
        <v>295</v>
      </c>
      <c r="B284">
        <v>6.4855769230769198</v>
      </c>
      <c r="C284">
        <v>1.82692307692308</v>
      </c>
      <c r="D284">
        <v>1.9951923076923099</v>
      </c>
      <c r="E284">
        <v>0.97115384615384603</v>
      </c>
      <c r="F284">
        <v>0.22115384615384601</v>
      </c>
      <c r="G284">
        <v>0.625</v>
      </c>
      <c r="H284">
        <v>208</v>
      </c>
      <c r="I284">
        <v>8.6814903846153904</v>
      </c>
      <c r="J284">
        <v>1017781</v>
      </c>
      <c r="K284">
        <v>1585781.33333333</v>
      </c>
      <c r="L284">
        <v>4110182.7686209199</v>
      </c>
      <c r="M284">
        <v>-2524401.4352875799</v>
      </c>
      <c r="P284">
        <f t="shared" si="8"/>
        <v>9.3024683439758284</v>
      </c>
      <c r="Q284">
        <f t="shared" si="9"/>
        <v>-0.62097795936043809</v>
      </c>
      <c r="T284" s="2">
        <v>259</v>
      </c>
      <c r="U284" s="2">
        <v>9538809.2567908168</v>
      </c>
      <c r="V284" s="2">
        <v>8461190.7432091832</v>
      </c>
      <c r="W284" s="2">
        <v>1.1518795544575418</v>
      </c>
    </row>
    <row r="285" spans="1:23" x14ac:dyDescent="0.35">
      <c r="A285" t="s">
        <v>296</v>
      </c>
      <c r="B285">
        <v>13.853260869565201</v>
      </c>
      <c r="C285">
        <v>5.1576086956521703</v>
      </c>
      <c r="D285">
        <v>1.8315217391304299</v>
      </c>
      <c r="E285">
        <v>0.90217391304347805</v>
      </c>
      <c r="F285">
        <v>0.16576086956521699</v>
      </c>
      <c r="G285">
        <v>0.83152173913043503</v>
      </c>
      <c r="H285">
        <v>368</v>
      </c>
      <c r="I285">
        <v>16.893750000000001</v>
      </c>
      <c r="J285">
        <v>2959080</v>
      </c>
      <c r="K285">
        <v>4671440.3333333302</v>
      </c>
      <c r="L285">
        <v>14703663.545225</v>
      </c>
      <c r="M285">
        <v>-10032223.2118917</v>
      </c>
      <c r="P285">
        <f t="shared" si="8"/>
        <v>10.732641888293561</v>
      </c>
      <c r="Q285">
        <f t="shared" si="9"/>
        <v>6.1611081117064401</v>
      </c>
      <c r="T285" s="2">
        <v>260</v>
      </c>
      <c r="U285" s="2">
        <v>13036253.759905575</v>
      </c>
      <c r="V285" s="2">
        <v>5606603.2400944252</v>
      </c>
      <c r="W285" s="2">
        <v>0.76326510513941193</v>
      </c>
    </row>
    <row r="286" spans="1:23" x14ac:dyDescent="0.35">
      <c r="A286" t="s">
        <v>297</v>
      </c>
      <c r="B286">
        <v>6.5</v>
      </c>
      <c r="C286">
        <v>2.5606796116504902</v>
      </c>
      <c r="D286">
        <v>0.82766990291262099</v>
      </c>
      <c r="E286">
        <v>0.31067961165048502</v>
      </c>
      <c r="F286">
        <v>0.20873786407767</v>
      </c>
      <c r="G286">
        <v>0.39320388349514601</v>
      </c>
      <c r="H286">
        <v>412</v>
      </c>
      <c r="I286">
        <v>8.1978155339805792</v>
      </c>
      <c r="J286">
        <v>1637966</v>
      </c>
      <c r="K286">
        <v>1886068.66666667</v>
      </c>
      <c r="L286">
        <v>3486261.8902882501</v>
      </c>
      <c r="M286">
        <v>-1600193.2236215901</v>
      </c>
      <c r="P286">
        <f t="shared" si="8"/>
        <v>9.4416486616412172</v>
      </c>
      <c r="Q286">
        <f t="shared" si="9"/>
        <v>-1.243833127660638</v>
      </c>
      <c r="T286" s="2">
        <v>261</v>
      </c>
      <c r="U286" s="2">
        <v>6843115.7841034811</v>
      </c>
      <c r="V286" s="2">
        <v>264134.88256318867</v>
      </c>
      <c r="W286" s="2">
        <v>3.5958481504245528E-2</v>
      </c>
    </row>
    <row r="287" spans="1:23" x14ac:dyDescent="0.35">
      <c r="A287" t="s">
        <v>298</v>
      </c>
      <c r="B287">
        <v>5.0388059701492498</v>
      </c>
      <c r="C287">
        <v>1.3044776119403001</v>
      </c>
      <c r="D287">
        <v>1.03880597014925</v>
      </c>
      <c r="E287">
        <v>0.31641791044776102</v>
      </c>
      <c r="F287">
        <v>8.0597014925373106E-2</v>
      </c>
      <c r="G287">
        <v>0.33432835820895501</v>
      </c>
      <c r="H287">
        <v>335</v>
      </c>
      <c r="I287">
        <v>6.1182089552238796</v>
      </c>
      <c r="J287">
        <v>1105522</v>
      </c>
      <c r="K287">
        <v>1755917.66666667</v>
      </c>
      <c r="L287">
        <v>803654.01538770495</v>
      </c>
      <c r="M287">
        <v>952263.65127896203</v>
      </c>
      <c r="P287">
        <f t="shared" si="8"/>
        <v>9.3813249133052867</v>
      </c>
      <c r="Q287">
        <f t="shared" si="9"/>
        <v>-3.2631159580814071</v>
      </c>
      <c r="T287" s="2">
        <v>262</v>
      </c>
      <c r="U287" s="2">
        <v>3984775.7323880065</v>
      </c>
      <c r="V287" s="2">
        <v>129504.26761199348</v>
      </c>
      <c r="W287" s="2">
        <v>1.7630298453793564E-2</v>
      </c>
    </row>
    <row r="288" spans="1:23" x14ac:dyDescent="0.35">
      <c r="A288" t="s">
        <v>299</v>
      </c>
      <c r="B288">
        <v>4.9136490250696401</v>
      </c>
      <c r="C288">
        <v>2.6796657381615598</v>
      </c>
      <c r="D288">
        <v>0.90807799442896897</v>
      </c>
      <c r="E288">
        <v>0.46239554317548698</v>
      </c>
      <c r="F288">
        <v>0.23955431754874701</v>
      </c>
      <c r="G288">
        <v>0.29805013927576601</v>
      </c>
      <c r="H288">
        <v>359</v>
      </c>
      <c r="I288">
        <v>7.0434540389972096</v>
      </c>
      <c r="J288">
        <v>1116112</v>
      </c>
      <c r="K288">
        <v>372037.33333333302</v>
      </c>
      <c r="L288">
        <v>1997182.52856796</v>
      </c>
      <c r="M288">
        <v>-1625145.19523463</v>
      </c>
      <c r="P288">
        <f t="shared" si="8"/>
        <v>8.7399095653245329</v>
      </c>
      <c r="Q288">
        <f t="shared" si="9"/>
        <v>-1.6964555263273233</v>
      </c>
      <c r="T288" s="2">
        <v>263</v>
      </c>
      <c r="U288" s="2">
        <v>11410240.40832332</v>
      </c>
      <c r="V288" s="2">
        <v>-2969669.4083233196</v>
      </c>
      <c r="W288" s="2">
        <v>-0.4042813332970962</v>
      </c>
    </row>
    <row r="289" spans="1:23" x14ac:dyDescent="0.35">
      <c r="A289" t="s">
        <v>300</v>
      </c>
      <c r="B289">
        <v>16.966666666666701</v>
      </c>
      <c r="C289">
        <v>7.4166666666666696</v>
      </c>
      <c r="D289">
        <v>4.8944444444444404</v>
      </c>
      <c r="E289">
        <v>2.3333333333333299</v>
      </c>
      <c r="F289">
        <v>1.0222222222222199</v>
      </c>
      <c r="G289">
        <v>1.18888888888889</v>
      </c>
      <c r="H289">
        <v>360</v>
      </c>
      <c r="I289">
        <v>24.5972222222222</v>
      </c>
      <c r="J289">
        <v>7644600</v>
      </c>
      <c r="K289">
        <v>8594753.3333333302</v>
      </c>
      <c r="L289">
        <v>24640829.285374701</v>
      </c>
      <c r="M289">
        <v>-16046075.9520413</v>
      </c>
      <c r="P289">
        <f t="shared" si="8"/>
        <v>12.55106007989472</v>
      </c>
      <c r="Q289">
        <f t="shared" si="9"/>
        <v>12.04616214232748</v>
      </c>
      <c r="T289" s="2">
        <v>264</v>
      </c>
      <c r="U289" s="2">
        <v>-719793.93477215525</v>
      </c>
      <c r="V289" s="2">
        <v>5518233.9347721552</v>
      </c>
      <c r="W289" s="2">
        <v>0.75123478941534738</v>
      </c>
    </row>
    <row r="290" spans="1:23" x14ac:dyDescent="0.35">
      <c r="A290" t="s">
        <v>301</v>
      </c>
      <c r="B290">
        <v>8.2786666666666697</v>
      </c>
      <c r="C290">
        <v>1.6759999999999999</v>
      </c>
      <c r="D290">
        <v>1.54266666666667</v>
      </c>
      <c r="E290">
        <v>0.78666666666666696</v>
      </c>
      <c r="F290">
        <v>0.121333333333333</v>
      </c>
      <c r="G290">
        <v>0.54800000000000004</v>
      </c>
      <c r="H290">
        <v>753</v>
      </c>
      <c r="I290">
        <v>9.3684666666666701</v>
      </c>
      <c r="J290">
        <v>8496653</v>
      </c>
      <c r="K290">
        <v>2832217.6666666698</v>
      </c>
      <c r="L290">
        <v>4996354.2218784103</v>
      </c>
      <c r="M290">
        <v>-2164136.5552117401</v>
      </c>
      <c r="P290">
        <f t="shared" si="8"/>
        <v>9.8801797076131397</v>
      </c>
      <c r="Q290">
        <f t="shared" si="9"/>
        <v>-0.51171304094646963</v>
      </c>
      <c r="T290" s="2">
        <v>265</v>
      </c>
      <c r="U290" s="2">
        <v>27317862.607838549</v>
      </c>
      <c r="V290" s="2">
        <v>-15709862.607838549</v>
      </c>
      <c r="W290" s="2">
        <v>-2.138690651292753</v>
      </c>
    </row>
    <row r="291" spans="1:23" x14ac:dyDescent="0.35">
      <c r="A291" t="s">
        <v>302</v>
      </c>
      <c r="B291">
        <v>13.7302158273381</v>
      </c>
      <c r="C291">
        <v>3.5107913669064699</v>
      </c>
      <c r="D291">
        <v>1.9028776978417301</v>
      </c>
      <c r="E291">
        <v>1.6834532374100699</v>
      </c>
      <c r="F291">
        <v>0.21942446043165501</v>
      </c>
      <c r="G291">
        <v>0.73741007194244601</v>
      </c>
      <c r="H291">
        <v>278</v>
      </c>
      <c r="I291">
        <v>15.124280575539601</v>
      </c>
      <c r="J291">
        <v>6012960</v>
      </c>
      <c r="K291">
        <v>6313640</v>
      </c>
      <c r="L291">
        <v>12421119.9810037</v>
      </c>
      <c r="M291">
        <v>-6107479.9810037399</v>
      </c>
      <c r="P291">
        <f t="shared" si="8"/>
        <v>11.493785785838323</v>
      </c>
      <c r="Q291">
        <f t="shared" si="9"/>
        <v>3.6304947897012774</v>
      </c>
      <c r="T291" s="2">
        <v>266</v>
      </c>
      <c r="U291" s="2">
        <v>21038197.598453902</v>
      </c>
      <c r="V291" s="2">
        <v>3409162.4015460983</v>
      </c>
      <c r="W291" s="2">
        <v>0.46411250937913506</v>
      </c>
    </row>
    <row r="292" spans="1:23" x14ac:dyDescent="0.35">
      <c r="A292" t="s">
        <v>303</v>
      </c>
      <c r="B292">
        <v>24.098662207357901</v>
      </c>
      <c r="C292">
        <v>4.62541806020067</v>
      </c>
      <c r="D292">
        <v>5.0719063545150496</v>
      </c>
      <c r="E292">
        <v>2.2107023411371198</v>
      </c>
      <c r="F292">
        <v>0.785953177257525</v>
      </c>
      <c r="G292">
        <v>1.37792642140468</v>
      </c>
      <c r="H292">
        <v>599</v>
      </c>
      <c r="I292">
        <v>27.904765886287599</v>
      </c>
      <c r="J292">
        <v>30913750</v>
      </c>
      <c r="K292">
        <v>33386850</v>
      </c>
      <c r="L292">
        <v>28907426.039989602</v>
      </c>
      <c r="M292">
        <v>4479423.9600103796</v>
      </c>
      <c r="P292">
        <f t="shared" si="8"/>
        <v>24.041960649541114</v>
      </c>
      <c r="Q292">
        <f t="shared" si="9"/>
        <v>3.8628052367464853</v>
      </c>
      <c r="T292" s="2">
        <v>267</v>
      </c>
      <c r="U292" s="2">
        <v>2174502.7658516411</v>
      </c>
      <c r="V292" s="2">
        <v>6017540.9008150287</v>
      </c>
      <c r="W292" s="2">
        <v>0.81920884921829074</v>
      </c>
    </row>
    <row r="293" spans="1:23" x14ac:dyDescent="0.35">
      <c r="A293" t="s">
        <v>304</v>
      </c>
      <c r="B293">
        <v>6.0722222222222202</v>
      </c>
      <c r="C293">
        <v>1.62407407407407</v>
      </c>
      <c r="D293">
        <v>1.7685185185185199</v>
      </c>
      <c r="E293">
        <v>0.77592592592592602</v>
      </c>
      <c r="F293">
        <v>0.15370370370370401</v>
      </c>
      <c r="G293">
        <v>0.34629629629629599</v>
      </c>
      <c r="H293">
        <v>542</v>
      </c>
      <c r="I293">
        <v>7.7339814814814796</v>
      </c>
      <c r="J293">
        <v>1997718</v>
      </c>
      <c r="K293">
        <v>665906</v>
      </c>
      <c r="L293">
        <v>2887934.8343000901</v>
      </c>
      <c r="M293">
        <v>-2222028.8343000901</v>
      </c>
      <c r="P293">
        <f t="shared" si="8"/>
        <v>8.8761148921511825</v>
      </c>
      <c r="Q293">
        <f t="shared" si="9"/>
        <v>-1.142133410669703</v>
      </c>
      <c r="T293" s="2">
        <v>268</v>
      </c>
      <c r="U293" s="2">
        <v>8210569.5519779548</v>
      </c>
      <c r="V293" s="2">
        <v>1984366.4480220452</v>
      </c>
      <c r="W293" s="2">
        <v>0.27014532698753252</v>
      </c>
    </row>
    <row r="294" spans="1:23" x14ac:dyDescent="0.35">
      <c r="A294" t="s">
        <v>305</v>
      </c>
      <c r="B294">
        <v>6.8287671232876699</v>
      </c>
      <c r="C294">
        <v>2.57191780821918</v>
      </c>
      <c r="D294">
        <v>1.02739726027397</v>
      </c>
      <c r="E294">
        <v>0.715753424657534</v>
      </c>
      <c r="F294">
        <v>0.17808219178082199</v>
      </c>
      <c r="G294">
        <v>0.397260273972603</v>
      </c>
      <c r="H294">
        <v>292</v>
      </c>
      <c r="I294">
        <v>8.4239726027397293</v>
      </c>
      <c r="J294">
        <v>3205128</v>
      </c>
      <c r="K294">
        <v>2083333.33333333</v>
      </c>
      <c r="L294">
        <v>3777995.3074716199</v>
      </c>
      <c r="M294">
        <v>-1694661.9741382799</v>
      </c>
      <c r="P294">
        <f t="shared" si="8"/>
        <v>9.5330789549741208</v>
      </c>
      <c r="Q294">
        <f t="shared" si="9"/>
        <v>-1.1091063522343916</v>
      </c>
      <c r="T294" s="2">
        <v>269</v>
      </c>
      <c r="U294" s="2">
        <v>23257661.730860889</v>
      </c>
      <c r="V294" s="2">
        <v>22382422.269139111</v>
      </c>
      <c r="W294" s="2">
        <v>3.0470716679858119</v>
      </c>
    </row>
    <row r="295" spans="1:23" x14ac:dyDescent="0.35">
      <c r="A295" t="s">
        <v>306</v>
      </c>
      <c r="B295">
        <v>11.318356867779199</v>
      </c>
      <c r="C295">
        <v>2.6097560975609801</v>
      </c>
      <c r="D295">
        <v>4.3940949935815103</v>
      </c>
      <c r="E295">
        <v>1.4480102695763799</v>
      </c>
      <c r="F295">
        <v>0.234916559691913</v>
      </c>
      <c r="G295">
        <v>0.65211810012837002</v>
      </c>
      <c r="H295">
        <v>780</v>
      </c>
      <c r="I295">
        <v>15.133697047496799</v>
      </c>
      <c r="J295">
        <v>19500000</v>
      </c>
      <c r="K295">
        <v>13285714.3333333</v>
      </c>
      <c r="L295">
        <v>12433266.846706299</v>
      </c>
      <c r="M295">
        <v>852447.48662707396</v>
      </c>
      <c r="P295">
        <f t="shared" si="8"/>
        <v>14.725275804842362</v>
      </c>
      <c r="Q295">
        <f t="shared" si="9"/>
        <v>0.40842124265443758</v>
      </c>
      <c r="T295" s="2">
        <v>270</v>
      </c>
      <c r="U295" s="2">
        <v>1493529.7021726444</v>
      </c>
      <c r="V295" s="2">
        <v>-899322.70217264444</v>
      </c>
      <c r="W295" s="2">
        <v>-0.12243092786007503</v>
      </c>
    </row>
    <row r="296" spans="1:23" x14ac:dyDescent="0.35">
      <c r="A296" t="s">
        <v>307</v>
      </c>
      <c r="B296">
        <v>1.93220338983051</v>
      </c>
      <c r="C296">
        <v>0.81355932203389802</v>
      </c>
      <c r="D296">
        <v>0.22033898305084701</v>
      </c>
      <c r="E296">
        <v>0.177966101694915</v>
      </c>
      <c r="F296">
        <v>0.144067796610169</v>
      </c>
      <c r="G296">
        <v>0.12711864406779699</v>
      </c>
      <c r="H296">
        <v>118</v>
      </c>
      <c r="I296">
        <v>2.5025423728813601</v>
      </c>
      <c r="J296">
        <v>58493</v>
      </c>
      <c r="K296">
        <v>19497.666666666701</v>
      </c>
      <c r="L296">
        <v>-3860408.7673938498</v>
      </c>
      <c r="M296">
        <v>3879906.4340605098</v>
      </c>
      <c r="P296">
        <f t="shared" si="8"/>
        <v>8.5765107890536427</v>
      </c>
      <c r="Q296">
        <f t="shared" si="9"/>
        <v>-6.0739684161722831</v>
      </c>
      <c r="T296" s="2">
        <v>271</v>
      </c>
      <c r="U296" s="2">
        <v>7738831.1146512404</v>
      </c>
      <c r="V296" s="2">
        <v>-3660331.7813179102</v>
      </c>
      <c r="W296" s="2">
        <v>-0.49830590863527791</v>
      </c>
    </row>
    <row r="297" spans="1:23" x14ac:dyDescent="0.35">
      <c r="A297" t="s">
        <v>308</v>
      </c>
      <c r="B297">
        <v>23.7773668639053</v>
      </c>
      <c r="C297">
        <v>4.50221893491124</v>
      </c>
      <c r="D297">
        <v>5.9659763313609497</v>
      </c>
      <c r="E297">
        <v>3</v>
      </c>
      <c r="F297">
        <v>0.265532544378698</v>
      </c>
      <c r="G297">
        <v>1.44970414201183</v>
      </c>
      <c r="H297">
        <v>1353</v>
      </c>
      <c r="I297">
        <v>27.6160133136095</v>
      </c>
      <c r="J297">
        <v>48070014</v>
      </c>
      <c r="K297">
        <v>51915615.333333299</v>
      </c>
      <c r="L297">
        <v>28534946.9695361</v>
      </c>
      <c r="M297">
        <v>23380668.363797199</v>
      </c>
      <c r="P297">
        <f t="shared" si="8"/>
        <v>32.629866827315396</v>
      </c>
      <c r="Q297">
        <f t="shared" si="9"/>
        <v>-5.0138535137058966</v>
      </c>
      <c r="T297" s="2">
        <v>272</v>
      </c>
      <c r="U297" s="2">
        <v>5010392.6907439567</v>
      </c>
      <c r="V297" s="2">
        <v>-2706712.6907439567</v>
      </c>
      <c r="W297" s="2">
        <v>-0.36848324342067634</v>
      </c>
    </row>
    <row r="298" spans="1:23" x14ac:dyDescent="0.35">
      <c r="A298" t="s">
        <v>309</v>
      </c>
      <c r="B298">
        <v>8.2304483837330604</v>
      </c>
      <c r="C298">
        <v>7.5724713242961403</v>
      </c>
      <c r="D298">
        <v>1.37956204379562</v>
      </c>
      <c r="E298">
        <v>1.32638164754953</v>
      </c>
      <c r="F298">
        <v>0.86861313868613099</v>
      </c>
      <c r="G298">
        <v>0.76746611053180402</v>
      </c>
      <c r="H298">
        <v>962</v>
      </c>
      <c r="I298">
        <v>14.583263816475499</v>
      </c>
      <c r="J298">
        <v>17926829</v>
      </c>
      <c r="K298">
        <v>14375609.6666667</v>
      </c>
      <c r="L298">
        <v>11723230.3738329</v>
      </c>
      <c r="M298">
        <v>2652379.2928337902</v>
      </c>
      <c r="P298">
        <f t="shared" si="8"/>
        <v>15.230431906604995</v>
      </c>
      <c r="Q298">
        <f t="shared" si="9"/>
        <v>-0.64716809012949561</v>
      </c>
      <c r="T298" s="2">
        <v>273</v>
      </c>
      <c r="U298" s="2">
        <v>6619323.6011136286</v>
      </c>
      <c r="V298" s="2">
        <v>-2120807.9344469588</v>
      </c>
      <c r="W298" s="2">
        <v>-0.28872003631184262</v>
      </c>
    </row>
    <row r="299" spans="1:23" x14ac:dyDescent="0.35">
      <c r="A299" t="s">
        <v>310</v>
      </c>
      <c r="B299">
        <v>7.48257164988381</v>
      </c>
      <c r="C299">
        <v>5.0046475600309801</v>
      </c>
      <c r="D299">
        <v>0.80712625871417498</v>
      </c>
      <c r="E299">
        <v>0.93570875290472499</v>
      </c>
      <c r="F299">
        <v>0.85127807900852004</v>
      </c>
      <c r="G299">
        <v>0.46320681642137901</v>
      </c>
      <c r="H299">
        <v>1294</v>
      </c>
      <c r="I299">
        <v>11.2694035631294</v>
      </c>
      <c r="J299">
        <v>2905851</v>
      </c>
      <c r="K299">
        <v>968617</v>
      </c>
      <c r="L299">
        <v>7448485.4760450302</v>
      </c>
      <c r="M299">
        <v>-6479868.4760450302</v>
      </c>
      <c r="P299">
        <f t="shared" si="8"/>
        <v>9.0164185562222823</v>
      </c>
      <c r="Q299">
        <f t="shared" si="9"/>
        <v>2.2529850069071173</v>
      </c>
      <c r="T299" s="2">
        <v>274</v>
      </c>
      <c r="U299" s="2">
        <v>8204544.8391557932</v>
      </c>
      <c r="V299" s="2">
        <v>-5218077.505822463</v>
      </c>
      <c r="W299" s="2">
        <v>-0.71037244933353005</v>
      </c>
    </row>
    <row r="300" spans="1:23" x14ac:dyDescent="0.35">
      <c r="A300" t="s">
        <v>311</v>
      </c>
      <c r="B300">
        <v>7.3403263403263397</v>
      </c>
      <c r="C300">
        <v>2.1095571095571102</v>
      </c>
      <c r="D300">
        <v>2.1328671328671298</v>
      </c>
      <c r="E300">
        <v>1.1048951048950999</v>
      </c>
      <c r="F300">
        <v>0.26573426573426601</v>
      </c>
      <c r="G300">
        <v>0.62237762237762195</v>
      </c>
      <c r="H300">
        <v>429</v>
      </c>
      <c r="I300">
        <v>9.6614219114219093</v>
      </c>
      <c r="J300">
        <v>10260000</v>
      </c>
      <c r="K300">
        <v>7093333.3333333302</v>
      </c>
      <c r="L300">
        <v>5374254.5683197398</v>
      </c>
      <c r="M300">
        <v>1719078.76501359</v>
      </c>
      <c r="P300">
        <f t="shared" si="8"/>
        <v>11.855166216408984</v>
      </c>
      <c r="Q300">
        <f t="shared" si="9"/>
        <v>-2.1937443049870744</v>
      </c>
      <c r="T300" s="2">
        <v>275</v>
      </c>
      <c r="U300" s="2">
        <v>51805.399638403207</v>
      </c>
      <c r="V300" s="2">
        <v>203854.2670282638</v>
      </c>
      <c r="W300" s="2">
        <v>2.7752070530645403E-2</v>
      </c>
    </row>
    <row r="301" spans="1:23" x14ac:dyDescent="0.35">
      <c r="A301" t="s">
        <v>312</v>
      </c>
      <c r="B301">
        <v>9.3148936170212799</v>
      </c>
      <c r="C301">
        <v>5.4638297872340402</v>
      </c>
      <c r="D301">
        <v>1.10212765957447</v>
      </c>
      <c r="E301">
        <v>1.08936170212766</v>
      </c>
      <c r="F301">
        <v>0.608510638297872</v>
      </c>
      <c r="G301">
        <v>1.1957446808510599</v>
      </c>
      <c r="H301">
        <v>235</v>
      </c>
      <c r="I301">
        <v>13.7189361702128</v>
      </c>
      <c r="J301">
        <v>3359160</v>
      </c>
      <c r="K301">
        <v>3527160</v>
      </c>
      <c r="L301">
        <v>10608282.8765304</v>
      </c>
      <c r="M301">
        <v>-7081122.8765303502</v>
      </c>
      <c r="P301">
        <f t="shared" si="8"/>
        <v>10.202278857246903</v>
      </c>
      <c r="Q301">
        <f t="shared" si="9"/>
        <v>3.5166573129658971</v>
      </c>
      <c r="T301" s="2">
        <v>276</v>
      </c>
      <c r="U301" s="2">
        <v>19514320.185467444</v>
      </c>
      <c r="V301" s="2">
        <v>678748.48119925708</v>
      </c>
      <c r="W301" s="2">
        <v>9.2402656061148711E-2</v>
      </c>
    </row>
    <row r="302" spans="1:23" x14ac:dyDescent="0.35">
      <c r="A302" t="s">
        <v>313</v>
      </c>
      <c r="B302">
        <v>9.0798858773181195</v>
      </c>
      <c r="C302">
        <v>3.28815977175464</v>
      </c>
      <c r="D302">
        <v>1.5577746077032799</v>
      </c>
      <c r="E302">
        <v>1.2596291012838801</v>
      </c>
      <c r="F302">
        <v>0.34807417974322402</v>
      </c>
      <c r="G302">
        <v>0.77175463623395102</v>
      </c>
      <c r="H302">
        <v>704</v>
      </c>
      <c r="I302">
        <v>11.4882310984308</v>
      </c>
      <c r="J302">
        <v>7295000</v>
      </c>
      <c r="K302">
        <v>4981666.6666666698</v>
      </c>
      <c r="L302">
        <v>7730764.0932802698</v>
      </c>
      <c r="M302">
        <v>-2749097.4266136</v>
      </c>
      <c r="P302">
        <f t="shared" si="8"/>
        <v>10.87642883775364</v>
      </c>
      <c r="Q302">
        <f t="shared" si="9"/>
        <v>0.6118022606771607</v>
      </c>
      <c r="T302" s="2">
        <v>277</v>
      </c>
      <c r="U302" s="2">
        <v>4077381.2763068751</v>
      </c>
      <c r="V302" s="2">
        <v>7968638.7236931249</v>
      </c>
      <c r="W302" s="2">
        <v>1.0848250915567172</v>
      </c>
    </row>
    <row r="303" spans="1:23" x14ac:dyDescent="0.35">
      <c r="A303" t="s">
        <v>314</v>
      </c>
      <c r="B303">
        <v>7.5153707052441199</v>
      </c>
      <c r="C303">
        <v>3.2820976491862601</v>
      </c>
      <c r="D303">
        <v>1.8589511754068699</v>
      </c>
      <c r="E303">
        <v>0.75406871609403303</v>
      </c>
      <c r="F303">
        <v>0.215189873417722</v>
      </c>
      <c r="G303">
        <v>0.531645569620253</v>
      </c>
      <c r="H303">
        <v>553</v>
      </c>
      <c r="I303">
        <v>10.4909584086799</v>
      </c>
      <c r="J303">
        <v>1930681</v>
      </c>
      <c r="K303">
        <v>7976893.6666666698</v>
      </c>
      <c r="L303">
        <v>6444322.8989326302</v>
      </c>
      <c r="M303">
        <v>1532570.76773403</v>
      </c>
      <c r="P303">
        <f t="shared" si="8"/>
        <v>12.264688011766767</v>
      </c>
      <c r="Q303">
        <f t="shared" si="9"/>
        <v>-1.773729603086867</v>
      </c>
      <c r="T303" s="2">
        <v>278</v>
      </c>
      <c r="U303" s="2">
        <v>8519878.4374549445</v>
      </c>
      <c r="V303" s="2">
        <v>-2286545.1041216142</v>
      </c>
      <c r="W303" s="2">
        <v>-0.3112829666316817</v>
      </c>
    </row>
    <row r="304" spans="1:23" x14ac:dyDescent="0.35">
      <c r="A304" t="s">
        <v>315</v>
      </c>
      <c r="B304">
        <v>6.79478827361564</v>
      </c>
      <c r="C304">
        <v>2.30944625407166</v>
      </c>
      <c r="D304">
        <v>1.15309446254072</v>
      </c>
      <c r="E304">
        <v>0.86319218241042395</v>
      </c>
      <c r="F304">
        <v>0.175895765472313</v>
      </c>
      <c r="G304">
        <v>0.56677524429967396</v>
      </c>
      <c r="H304">
        <v>307</v>
      </c>
      <c r="I304">
        <v>8.4078175895765508</v>
      </c>
      <c r="J304" s="1">
        <v>4000000</v>
      </c>
      <c r="K304">
        <v>1333333.33333333</v>
      </c>
      <c r="L304">
        <v>3757155.9977803701</v>
      </c>
      <c r="M304">
        <v>-2423822.6644470398</v>
      </c>
      <c r="P304">
        <f t="shared" si="8"/>
        <v>9.1854611014659078</v>
      </c>
      <c r="Q304">
        <f t="shared" si="9"/>
        <v>-0.77764351188935699</v>
      </c>
      <c r="T304" s="2">
        <v>279</v>
      </c>
      <c r="U304" s="2">
        <v>19026220.246582694</v>
      </c>
      <c r="V304" s="2">
        <v>21973779.753417306</v>
      </c>
      <c r="W304" s="2">
        <v>2.9914403776358309</v>
      </c>
    </row>
    <row r="305" spans="1:23" x14ac:dyDescent="0.35">
      <c r="A305" t="s">
        <v>316</v>
      </c>
      <c r="B305">
        <v>12.203087885985701</v>
      </c>
      <c r="C305">
        <v>3.5047505938242298</v>
      </c>
      <c r="D305">
        <v>3.1318289786223299</v>
      </c>
      <c r="E305">
        <v>1.1733966745843201</v>
      </c>
      <c r="F305">
        <v>0.22684085510688801</v>
      </c>
      <c r="G305">
        <v>0.83016627078384797</v>
      </c>
      <c r="H305">
        <v>844</v>
      </c>
      <c r="I305">
        <v>15.5582541567696</v>
      </c>
      <c r="J305">
        <v>21486316</v>
      </c>
      <c r="K305">
        <v>23205221</v>
      </c>
      <c r="L305">
        <v>12980928.243969699</v>
      </c>
      <c r="M305">
        <v>10224292.756030301</v>
      </c>
      <c r="P305">
        <f t="shared" si="8"/>
        <v>19.322872625278478</v>
      </c>
      <c r="Q305">
        <f t="shared" si="9"/>
        <v>-3.7646184685088784</v>
      </c>
      <c r="T305" s="2">
        <v>280</v>
      </c>
      <c r="U305" s="2">
        <v>11278947.947198914</v>
      </c>
      <c r="V305" s="2">
        <v>-6362345.6138655841</v>
      </c>
      <c r="W305" s="2">
        <v>-0.86614946446943608</v>
      </c>
    </row>
    <row r="306" spans="1:23" x14ac:dyDescent="0.35">
      <c r="A306" t="s">
        <v>317</v>
      </c>
      <c r="B306">
        <v>5.8870151770657699</v>
      </c>
      <c r="C306">
        <v>3.3709949409780799</v>
      </c>
      <c r="D306">
        <v>0.66947723440134899</v>
      </c>
      <c r="E306">
        <v>0.50590219224283295</v>
      </c>
      <c r="F306">
        <v>0.45362563237774001</v>
      </c>
      <c r="G306">
        <v>0.237774030354132</v>
      </c>
      <c r="H306">
        <v>595</v>
      </c>
      <c r="I306">
        <v>8.2199831365935907</v>
      </c>
      <c r="J306">
        <v>1968175</v>
      </c>
      <c r="K306">
        <v>656058.33333333302</v>
      </c>
      <c r="L306">
        <v>3514857.1957391901</v>
      </c>
      <c r="M306">
        <v>-2858798.8624058599</v>
      </c>
      <c r="P306">
        <f t="shared" si="8"/>
        <v>8.8715505924862086</v>
      </c>
      <c r="Q306">
        <f t="shared" si="9"/>
        <v>-0.65156745589261789</v>
      </c>
      <c r="T306" s="2">
        <v>281</v>
      </c>
      <c r="U306" s="2">
        <v>28938342.739416152</v>
      </c>
      <c r="V306" s="2">
        <v>-13244949.739416152</v>
      </c>
      <c r="W306" s="2">
        <v>-1.803125265423889</v>
      </c>
    </row>
    <row r="307" spans="1:23" x14ac:dyDescent="0.35">
      <c r="A307" t="s">
        <v>318</v>
      </c>
      <c r="B307">
        <v>14.7423868312757</v>
      </c>
      <c r="C307">
        <v>5.7687242798353902</v>
      </c>
      <c r="D307">
        <v>2.2098765432098801</v>
      </c>
      <c r="E307">
        <v>1.2888888888888901</v>
      </c>
      <c r="F307">
        <v>0.50781893004115197</v>
      </c>
      <c r="G307">
        <v>0.73909465020576104</v>
      </c>
      <c r="H307">
        <v>1216</v>
      </c>
      <c r="I307">
        <v>18.484115226337401</v>
      </c>
      <c r="J307">
        <v>37633050</v>
      </c>
      <c r="K307">
        <v>25634400</v>
      </c>
      <c r="L307">
        <v>16755169.9809718</v>
      </c>
      <c r="M307">
        <v>8879230.01902817</v>
      </c>
      <c r="P307">
        <f t="shared" si="8"/>
        <v>20.448773944968117</v>
      </c>
      <c r="Q307">
        <f t="shared" si="9"/>
        <v>-1.9646587186307158</v>
      </c>
      <c r="T307" s="2">
        <v>282</v>
      </c>
      <c r="U307" s="2">
        <v>4115024.5037050303</v>
      </c>
      <c r="V307" s="2">
        <v>-2529243.1703717001</v>
      </c>
      <c r="W307" s="2">
        <v>-0.34432310825054607</v>
      </c>
    </row>
    <row r="308" spans="1:23" x14ac:dyDescent="0.35">
      <c r="A308" t="s">
        <v>319</v>
      </c>
      <c r="B308">
        <v>2.5620767494356702</v>
      </c>
      <c r="C308">
        <v>2.2189616252821698</v>
      </c>
      <c r="D308">
        <v>0.29345372460496599</v>
      </c>
      <c r="E308">
        <v>0.322799097065463</v>
      </c>
      <c r="F308">
        <v>0.28216704288939098</v>
      </c>
      <c r="G308">
        <v>0.121896162528217</v>
      </c>
      <c r="H308">
        <v>445</v>
      </c>
      <c r="I308">
        <v>4.2328442437923304</v>
      </c>
      <c r="J308">
        <v>2036318</v>
      </c>
      <c r="K308">
        <v>678772.66666666698</v>
      </c>
      <c r="L308">
        <v>-1628389.75366482</v>
      </c>
      <c r="M308">
        <v>2307162.4203314902</v>
      </c>
      <c r="P308">
        <f t="shared" si="8"/>
        <v>8.8820784695491461</v>
      </c>
      <c r="Q308">
        <f t="shared" si="9"/>
        <v>-4.6492342257568158</v>
      </c>
      <c r="T308" s="2">
        <v>283</v>
      </c>
      <c r="U308" s="2">
        <v>14705216.629706899</v>
      </c>
      <c r="V308" s="2">
        <v>-10033776.296373568</v>
      </c>
      <c r="W308" s="2">
        <v>-1.3659663421569188</v>
      </c>
    </row>
    <row r="309" spans="1:23" x14ac:dyDescent="0.35">
      <c r="A309" t="s">
        <v>320</v>
      </c>
      <c r="B309">
        <v>4.6740088105726896</v>
      </c>
      <c r="C309">
        <v>3.1395007342143901</v>
      </c>
      <c r="D309">
        <v>0.81791483113068997</v>
      </c>
      <c r="E309">
        <v>0.506607929515419</v>
      </c>
      <c r="F309">
        <v>0.42878120411160098</v>
      </c>
      <c r="G309">
        <v>0.40234948604992699</v>
      </c>
      <c r="H309">
        <v>683</v>
      </c>
      <c r="I309">
        <v>7.4128487518355399</v>
      </c>
      <c r="J309">
        <v>5121951</v>
      </c>
      <c r="K309">
        <v>1707317</v>
      </c>
      <c r="L309">
        <v>2473686.6787900398</v>
      </c>
      <c r="M309">
        <v>-766369.67879003799</v>
      </c>
      <c r="P309">
        <f t="shared" si="8"/>
        <v>9.3587989674043062</v>
      </c>
      <c r="Q309">
        <f t="shared" si="9"/>
        <v>-1.9459502155687662</v>
      </c>
      <c r="T309" s="2">
        <v>284</v>
      </c>
      <c r="U309" s="2">
        <v>3491297.3159841131</v>
      </c>
      <c r="V309" s="2">
        <v>-1605228.6493174431</v>
      </c>
      <c r="W309" s="2">
        <v>-0.21853071482430059</v>
      </c>
    </row>
    <row r="310" spans="1:23" x14ac:dyDescent="0.35">
      <c r="A310" t="s">
        <v>321</v>
      </c>
      <c r="B310">
        <v>23.5042881646655</v>
      </c>
      <c r="C310">
        <v>3.2367066895368799</v>
      </c>
      <c r="D310">
        <v>9.0943396226415096</v>
      </c>
      <c r="E310">
        <v>3.97255574614065</v>
      </c>
      <c r="F310">
        <v>0.147512864493997</v>
      </c>
      <c r="G310">
        <v>0.99313893653516305</v>
      </c>
      <c r="H310">
        <v>586</v>
      </c>
      <c r="I310">
        <v>28.466295025729</v>
      </c>
      <c r="J310">
        <v>37096500</v>
      </c>
      <c r="K310">
        <v>40064220</v>
      </c>
      <c r="L310">
        <v>29631775.7832724</v>
      </c>
      <c r="M310">
        <v>10432444.2167276</v>
      </c>
      <c r="P310">
        <f t="shared" si="8"/>
        <v>27.136858018181297</v>
      </c>
      <c r="Q310">
        <f t="shared" si="9"/>
        <v>1.3294370075477033</v>
      </c>
      <c r="T310" s="2">
        <v>285</v>
      </c>
      <c r="U310" s="2">
        <v>809522.23251344077</v>
      </c>
      <c r="V310" s="2">
        <v>946395.43415322923</v>
      </c>
      <c r="W310" s="2">
        <v>0.12883925964061232</v>
      </c>
    </row>
    <row r="311" spans="1:23" x14ac:dyDescent="0.35">
      <c r="A311" t="s">
        <v>322</v>
      </c>
      <c r="B311">
        <v>7.6551724137930997</v>
      </c>
      <c r="C311">
        <v>2.4605911330049302</v>
      </c>
      <c r="D311">
        <v>4.1748768472906397</v>
      </c>
      <c r="E311">
        <v>0.96551724137931005</v>
      </c>
      <c r="F311">
        <v>0.110837438423645</v>
      </c>
      <c r="G311">
        <v>0.83004926108374399</v>
      </c>
      <c r="H311">
        <v>406</v>
      </c>
      <c r="I311">
        <v>12.342857142857101</v>
      </c>
      <c r="J311">
        <v>1782621</v>
      </c>
      <c r="K311">
        <v>594207</v>
      </c>
      <c r="L311">
        <v>8833196.9189370498</v>
      </c>
      <c r="M311">
        <v>-8238989.9189370498</v>
      </c>
      <c r="P311">
        <f t="shared" si="8"/>
        <v>8.8428830888462695</v>
      </c>
      <c r="Q311">
        <f t="shared" si="9"/>
        <v>3.4999740540108313</v>
      </c>
      <c r="T311" s="2">
        <v>286</v>
      </c>
      <c r="U311" s="2">
        <v>2002680.2255269587</v>
      </c>
      <c r="V311" s="2">
        <v>-1630642.8921936257</v>
      </c>
      <c r="W311" s="2">
        <v>-0.22199052889179313</v>
      </c>
    </row>
    <row r="312" spans="1:23" x14ac:dyDescent="0.35">
      <c r="A312" t="s">
        <v>323</v>
      </c>
      <c r="B312">
        <v>7.0894039735099303</v>
      </c>
      <c r="C312">
        <v>2.1092715231788102</v>
      </c>
      <c r="D312">
        <v>1.75827814569536</v>
      </c>
      <c r="E312">
        <v>0.99668874172185395</v>
      </c>
      <c r="F312">
        <v>0.129139072847682</v>
      </c>
      <c r="G312">
        <v>0.556291390728477</v>
      </c>
      <c r="H312">
        <v>302</v>
      </c>
      <c r="I312">
        <v>8.9498344370860892</v>
      </c>
      <c r="J312">
        <v>3046200</v>
      </c>
      <c r="K312">
        <v>3715324.3333333302</v>
      </c>
      <c r="L312">
        <v>4456335.6783558996</v>
      </c>
      <c r="M312">
        <v>-741011.34502256499</v>
      </c>
      <c r="P312">
        <f t="shared" si="8"/>
        <v>10.28949123279375</v>
      </c>
      <c r="Q312">
        <f t="shared" si="9"/>
        <v>-1.3396567957076613</v>
      </c>
      <c r="T312" s="2">
        <v>287</v>
      </c>
      <c r="U312" s="2">
        <v>24639297.466340423</v>
      </c>
      <c r="V312" s="2">
        <v>-16044544.133007092</v>
      </c>
      <c r="W312" s="2">
        <v>-2.1842531279932955</v>
      </c>
    </row>
    <row r="313" spans="1:23" x14ac:dyDescent="0.35">
      <c r="A313" t="s">
        <v>324</v>
      </c>
      <c r="B313">
        <v>6.2200647249190899</v>
      </c>
      <c r="C313">
        <v>2.94174757281553</v>
      </c>
      <c r="D313">
        <v>1.57928802588997</v>
      </c>
      <c r="E313">
        <v>0.98705501618123004</v>
      </c>
      <c r="F313">
        <v>0.25889967637540501</v>
      </c>
      <c r="G313">
        <v>0.38511326860841399</v>
      </c>
      <c r="H313">
        <v>309</v>
      </c>
      <c r="I313">
        <v>8.7482200647249204</v>
      </c>
      <c r="J313">
        <v>1563518</v>
      </c>
      <c r="K313">
        <v>1796070.66666667</v>
      </c>
      <c r="L313">
        <v>4196261.3409720603</v>
      </c>
      <c r="M313">
        <v>-2400190.6743053999</v>
      </c>
      <c r="P313">
        <f t="shared" si="8"/>
        <v>9.3999354462011731</v>
      </c>
      <c r="Q313">
        <f t="shared" si="9"/>
        <v>-0.65171538147625263</v>
      </c>
      <c r="T313" s="2">
        <v>288</v>
      </c>
      <c r="U313" s="2">
        <v>5000920.8530240823</v>
      </c>
      <c r="V313" s="2">
        <v>-2168703.1863574125</v>
      </c>
      <c r="W313" s="2">
        <v>-0.29524034333547561</v>
      </c>
    </row>
    <row r="314" spans="1:23" x14ac:dyDescent="0.35">
      <c r="A314" t="s">
        <v>325</v>
      </c>
      <c r="B314">
        <v>2.5254237288135601</v>
      </c>
      <c r="C314">
        <v>1.08474576271186</v>
      </c>
      <c r="D314">
        <v>0.66949152542372903</v>
      </c>
      <c r="E314">
        <v>0.483050847457627</v>
      </c>
      <c r="F314">
        <v>0.21186440677966101</v>
      </c>
      <c r="G314">
        <v>0.44067796610169502</v>
      </c>
      <c r="H314">
        <v>118</v>
      </c>
      <c r="I314">
        <v>3.8423728813559301</v>
      </c>
      <c r="J314">
        <v>838891</v>
      </c>
      <c r="K314">
        <v>279630.33333333302</v>
      </c>
      <c r="L314">
        <v>-2132081.9243355198</v>
      </c>
      <c r="M314">
        <v>2411712.25766885</v>
      </c>
      <c r="P314">
        <f t="shared" si="8"/>
        <v>8.6970798013390223</v>
      </c>
      <c r="Q314">
        <f t="shared" si="9"/>
        <v>-4.8547069199830926</v>
      </c>
      <c r="T314" s="2">
        <v>289</v>
      </c>
      <c r="U314" s="2">
        <v>12423381.660557063</v>
      </c>
      <c r="V314" s="2">
        <v>-6109741.6605570633</v>
      </c>
      <c r="W314" s="2">
        <v>-0.83176076694187351</v>
      </c>
    </row>
    <row r="315" spans="1:23" x14ac:dyDescent="0.35">
      <c r="A315" t="s">
        <v>326</v>
      </c>
      <c r="B315">
        <v>6.6404066073697603</v>
      </c>
      <c r="C315">
        <v>3.8462515883100399</v>
      </c>
      <c r="D315">
        <v>0.95044472681067305</v>
      </c>
      <c r="E315">
        <v>0.70266836086404105</v>
      </c>
      <c r="F315">
        <v>0.30368487928843702</v>
      </c>
      <c r="G315">
        <v>0.35451080050825901</v>
      </c>
      <c r="H315">
        <v>789</v>
      </c>
      <c r="I315">
        <v>9.3146124523506995</v>
      </c>
      <c r="J315">
        <v>2625000</v>
      </c>
      <c r="K315">
        <v>875000</v>
      </c>
      <c r="L315">
        <v>4926884.4765446698</v>
      </c>
      <c r="M315">
        <v>-4051884.4765446698</v>
      </c>
      <c r="P315">
        <f t="shared" si="8"/>
        <v>8.9730279687664449</v>
      </c>
      <c r="Q315">
        <f t="shared" si="9"/>
        <v>0.34158448358425453</v>
      </c>
      <c r="T315" s="2">
        <v>290</v>
      </c>
      <c r="U315" s="2">
        <v>28904569.694458157</v>
      </c>
      <c r="V315" s="2">
        <v>4482280.3055418432</v>
      </c>
      <c r="W315" s="2">
        <v>0.61020336238668671</v>
      </c>
    </row>
    <row r="316" spans="1:23" x14ac:dyDescent="0.35">
      <c r="A316" t="s">
        <v>327</v>
      </c>
      <c r="B316">
        <v>7.2543940795559703</v>
      </c>
      <c r="C316">
        <v>6.9158186864014803</v>
      </c>
      <c r="D316">
        <v>0.84458834412580897</v>
      </c>
      <c r="E316">
        <v>0.91951896392229404</v>
      </c>
      <c r="F316">
        <v>0.58464384828862204</v>
      </c>
      <c r="G316">
        <v>0.40240518038852902</v>
      </c>
      <c r="H316">
        <v>1082</v>
      </c>
      <c r="I316">
        <v>12.345328399630001</v>
      </c>
      <c r="J316">
        <v>16700</v>
      </c>
      <c r="K316">
        <v>5566.6666666666697</v>
      </c>
      <c r="L316">
        <v>8836384.7396274693</v>
      </c>
      <c r="M316">
        <v>-8830818.0729607996</v>
      </c>
      <c r="P316">
        <f t="shared" si="8"/>
        <v>8.570053903297346</v>
      </c>
      <c r="Q316">
        <f t="shared" si="9"/>
        <v>3.7752744963326546</v>
      </c>
      <c r="T316" s="2">
        <v>291</v>
      </c>
      <c r="U316" s="2">
        <v>2893156.0052362978</v>
      </c>
      <c r="V316" s="2">
        <v>-2227250.0052362978</v>
      </c>
      <c r="W316" s="2">
        <v>-0.3032107207553727</v>
      </c>
    </row>
    <row r="317" spans="1:23" x14ac:dyDescent="0.35">
      <c r="A317" t="s">
        <v>328</v>
      </c>
      <c r="B317">
        <v>7.0181268882175196</v>
      </c>
      <c r="C317">
        <v>1.6314199395770399</v>
      </c>
      <c r="D317">
        <v>2.32628398791541</v>
      </c>
      <c r="E317">
        <v>0.83081570996978804</v>
      </c>
      <c r="F317">
        <v>7.8549848942598199E-2</v>
      </c>
      <c r="G317">
        <v>0.57099697885196399</v>
      </c>
      <c r="H317">
        <v>331</v>
      </c>
      <c r="I317">
        <v>9.1291540785498508</v>
      </c>
      <c r="J317">
        <v>4728948</v>
      </c>
      <c r="K317">
        <v>2163566.6666666698</v>
      </c>
      <c r="L317">
        <v>4687650.7199742999</v>
      </c>
      <c r="M317">
        <v>-2524084.0533076399</v>
      </c>
      <c r="P317">
        <f t="shared" si="8"/>
        <v>9.5702663404583124</v>
      </c>
      <c r="Q317">
        <f t="shared" si="9"/>
        <v>-0.44111226190846153</v>
      </c>
      <c r="T317" s="2">
        <v>292</v>
      </c>
      <c r="U317" s="2">
        <v>3782940.1671582274</v>
      </c>
      <c r="V317" s="2">
        <v>-1699606.8338248974</v>
      </c>
      <c r="W317" s="2">
        <v>-0.23137906021920954</v>
      </c>
    </row>
    <row r="318" spans="1:23" x14ac:dyDescent="0.35">
      <c r="A318" t="s">
        <v>329</v>
      </c>
      <c r="B318">
        <v>16.382692307692299</v>
      </c>
      <c r="C318">
        <v>4.2384615384615403</v>
      </c>
      <c r="D318">
        <v>3.3942307692307701</v>
      </c>
      <c r="E318">
        <v>1.92307692307692</v>
      </c>
      <c r="F318">
        <v>0.17884615384615399</v>
      </c>
      <c r="G318">
        <v>0.60769230769230798</v>
      </c>
      <c r="H318">
        <v>520</v>
      </c>
      <c r="I318">
        <v>18.8970192307692</v>
      </c>
      <c r="J318">
        <v>5722116</v>
      </c>
      <c r="K318">
        <v>20574038.666666701</v>
      </c>
      <c r="L318">
        <v>17287799.3471132</v>
      </c>
      <c r="M318">
        <v>3286239.3195534302</v>
      </c>
      <c r="P318">
        <f t="shared" si="8"/>
        <v>18.103344685409077</v>
      </c>
      <c r="Q318">
        <f t="shared" si="9"/>
        <v>0.79367454536012261</v>
      </c>
      <c r="T318" s="2">
        <v>293</v>
      </c>
      <c r="U318" s="2">
        <v>12435524.755374601</v>
      </c>
      <c r="V318" s="2">
        <v>850189.57795869932</v>
      </c>
      <c r="W318" s="2">
        <v>0.1157421008443162</v>
      </c>
    </row>
    <row r="319" spans="1:23" x14ac:dyDescent="0.35">
      <c r="A319" t="s">
        <v>330</v>
      </c>
      <c r="B319">
        <v>17.020408163265301</v>
      </c>
      <c r="C319">
        <v>3.7270408163265301</v>
      </c>
      <c r="D319">
        <v>8.5382653061224492</v>
      </c>
      <c r="E319">
        <v>2.0969387755101998</v>
      </c>
      <c r="F319">
        <v>0.58928571428571397</v>
      </c>
      <c r="G319">
        <v>1.4285714285714299</v>
      </c>
      <c r="H319">
        <v>392</v>
      </c>
      <c r="I319">
        <v>25.254591836734701</v>
      </c>
      <c r="J319">
        <v>4215120</v>
      </c>
      <c r="K319">
        <v>6005320.3333333302</v>
      </c>
      <c r="L319">
        <v>25488809.342095699</v>
      </c>
      <c r="M319">
        <v>-19483489.0087623</v>
      </c>
      <c r="P319">
        <f t="shared" si="8"/>
        <v>11.350882558210277</v>
      </c>
      <c r="Q319">
        <f t="shared" si="9"/>
        <v>13.903709278524424</v>
      </c>
      <c r="T319" s="2">
        <v>294</v>
      </c>
      <c r="U319" s="2">
        <v>-3853092.634025767</v>
      </c>
      <c r="V319" s="2">
        <v>3872590.3006924335</v>
      </c>
      <c r="W319" s="2">
        <v>0.52720210730839867</v>
      </c>
    </row>
    <row r="320" spans="1:23" x14ac:dyDescent="0.35">
      <c r="A320" t="s">
        <v>331</v>
      </c>
      <c r="B320">
        <v>4.59685863874346</v>
      </c>
      <c r="C320">
        <v>1.93193717277487</v>
      </c>
      <c r="D320">
        <v>1.0732984293193699</v>
      </c>
      <c r="E320">
        <v>0.62303664921465995</v>
      </c>
      <c r="F320">
        <v>8.9005235602094196E-2</v>
      </c>
      <c r="G320">
        <v>0.324607329842932</v>
      </c>
      <c r="H320">
        <v>191</v>
      </c>
      <c r="I320">
        <v>6.1685863874345603</v>
      </c>
      <c r="J320">
        <v>1017781</v>
      </c>
      <c r="K320">
        <v>912548.33333333302</v>
      </c>
      <c r="L320">
        <v>868638.85326334694</v>
      </c>
      <c r="M320">
        <v>43909.480069985999</v>
      </c>
      <c r="P320">
        <f t="shared" si="8"/>
        <v>8.9904312634813035</v>
      </c>
      <c r="Q320">
        <f t="shared" si="9"/>
        <v>-2.8218448760467432</v>
      </c>
      <c r="T320" s="2">
        <v>295</v>
      </c>
      <c r="U320" s="2">
        <v>28532206.25677412</v>
      </c>
      <c r="V320" s="2">
        <v>23383409.076559179</v>
      </c>
      <c r="W320" s="2">
        <v>3.1833428232808627</v>
      </c>
    </row>
    <row r="321" spans="1:23" x14ac:dyDescent="0.35">
      <c r="A321" t="s">
        <v>332</v>
      </c>
      <c r="B321">
        <v>18.6875</v>
      </c>
      <c r="C321">
        <v>2.8965517241379302</v>
      </c>
      <c r="D321">
        <v>4.2068965517241397</v>
      </c>
      <c r="E321">
        <v>1.4073275862068999</v>
      </c>
      <c r="F321">
        <v>0.35991379310344801</v>
      </c>
      <c r="G321">
        <v>0.95905172413793105</v>
      </c>
      <c r="H321">
        <v>464</v>
      </c>
      <c r="I321">
        <v>21.155064655172399</v>
      </c>
      <c r="J321">
        <v>2726880</v>
      </c>
      <c r="K321">
        <v>4443462.6666666698</v>
      </c>
      <c r="L321">
        <v>20200586.072864302</v>
      </c>
      <c r="M321">
        <v>-15757123.4061976</v>
      </c>
      <c r="P321">
        <f t="shared" si="8"/>
        <v>10.62697641211426</v>
      </c>
      <c r="Q321">
        <f t="shared" si="9"/>
        <v>10.528088243058139</v>
      </c>
      <c r="T321" s="2">
        <v>296</v>
      </c>
      <c r="U321" s="2">
        <v>11725708.706922932</v>
      </c>
      <c r="V321" s="2">
        <v>2649900.959743768</v>
      </c>
      <c r="W321" s="2">
        <v>0.36074907533742157</v>
      </c>
    </row>
    <row r="322" spans="1:23" x14ac:dyDescent="0.35">
      <c r="A322" t="s">
        <v>333</v>
      </c>
      <c r="B322">
        <v>6.7526011560693604</v>
      </c>
      <c r="C322">
        <v>1.8450867052023101</v>
      </c>
      <c r="D322">
        <v>3.8959537572254299</v>
      </c>
      <c r="E322">
        <v>0.75144508670520205</v>
      </c>
      <c r="F322">
        <v>8.5549132947976905E-2</v>
      </c>
      <c r="G322">
        <v>0.88901734104046204</v>
      </c>
      <c r="H322">
        <v>868</v>
      </c>
      <c r="I322">
        <v>11.0353179190751</v>
      </c>
      <c r="J322" s="1">
        <v>15000000</v>
      </c>
      <c r="K322">
        <v>9666666.6666666698</v>
      </c>
      <c r="L322">
        <v>7146524.5193161704</v>
      </c>
      <c r="M322">
        <v>2520142.1473504999</v>
      </c>
      <c r="P322">
        <f t="shared" si="8"/>
        <v>13.047881696001612</v>
      </c>
      <c r="Q322">
        <f t="shared" si="9"/>
        <v>-2.0125637769265126</v>
      </c>
      <c r="T322" s="2">
        <v>297</v>
      </c>
      <c r="U322" s="2">
        <v>7452290.8651499357</v>
      </c>
      <c r="V322" s="2">
        <v>-6483673.8651499357</v>
      </c>
      <c r="W322" s="2">
        <v>-0.88266670610527753</v>
      </c>
    </row>
    <row r="323" spans="1:23" x14ac:dyDescent="0.35">
      <c r="A323" t="s">
        <v>334</v>
      </c>
      <c r="B323">
        <v>4.2482758620689696</v>
      </c>
      <c r="C323">
        <v>1.5551724137931</v>
      </c>
      <c r="D323">
        <v>1.25172413793103</v>
      </c>
      <c r="E323">
        <v>0.5</v>
      </c>
      <c r="F323">
        <v>0.19655172413793101</v>
      </c>
      <c r="G323">
        <v>0.39655172413793099</v>
      </c>
      <c r="H323">
        <v>290</v>
      </c>
      <c r="I323">
        <v>6.0251724137930998</v>
      </c>
      <c r="J323">
        <v>1563518</v>
      </c>
      <c r="K323">
        <v>1796070.66666667</v>
      </c>
      <c r="L323">
        <v>683640.66226351506</v>
      </c>
      <c r="M323">
        <v>1112430.0044031499</v>
      </c>
      <c r="P323">
        <f t="shared" ref="P323:P331" si="10">INTERCEPT($I$2:$I$331, $K$2:$K$331) + SLOPE($I$2:$I$331, $K$2:$K$331) * K323</f>
        <v>9.3999354462011731</v>
      </c>
      <c r="Q323">
        <f t="shared" ref="Q323:Q331" si="11">I323 - P323</f>
        <v>-3.3747630324080733</v>
      </c>
      <c r="T323" s="2">
        <v>298</v>
      </c>
      <c r="U323" s="2">
        <v>5378703.8837097939</v>
      </c>
      <c r="V323" s="2">
        <v>1714629.4496235363</v>
      </c>
      <c r="W323" s="2">
        <v>0.2334241912791388</v>
      </c>
    </row>
    <row r="324" spans="1:23" x14ac:dyDescent="0.35">
      <c r="A324" t="s">
        <v>335</v>
      </c>
      <c r="B324">
        <v>1.8971061093247601</v>
      </c>
      <c r="C324">
        <v>0.93890675241157595</v>
      </c>
      <c r="D324">
        <v>0.47266881028938901</v>
      </c>
      <c r="E324">
        <v>0.31189710610932497</v>
      </c>
      <c r="F324">
        <v>7.7170418006430902E-2</v>
      </c>
      <c r="G324">
        <v>0.15112540192925999</v>
      </c>
      <c r="H324">
        <v>311</v>
      </c>
      <c r="I324">
        <v>2.7189710610932498</v>
      </c>
      <c r="J324">
        <v>2234359</v>
      </c>
      <c r="K324">
        <v>2271774.6666666698</v>
      </c>
      <c r="L324">
        <v>-3581224.5653037</v>
      </c>
      <c r="M324">
        <v>5852999.2319703596</v>
      </c>
      <c r="P324">
        <f t="shared" si="10"/>
        <v>9.6204197173815356</v>
      </c>
      <c r="Q324">
        <f t="shared" si="11"/>
        <v>-6.9014486562882862</v>
      </c>
      <c r="T324" s="2">
        <v>299</v>
      </c>
      <c r="U324" s="2">
        <v>10611107.33501924</v>
      </c>
      <c r="V324" s="2">
        <v>-7083947.3350192402</v>
      </c>
      <c r="W324" s="2">
        <v>-0.96438602410796859</v>
      </c>
    </row>
    <row r="325" spans="1:23" x14ac:dyDescent="0.35">
      <c r="A325" t="s">
        <v>336</v>
      </c>
      <c r="B325">
        <v>8.9030837004405292</v>
      </c>
      <c r="C325">
        <v>8.6563876651982401</v>
      </c>
      <c r="D325">
        <v>1.15859030837004</v>
      </c>
      <c r="E325">
        <v>1.0704845814977999</v>
      </c>
      <c r="F325">
        <v>2.1938325991189398</v>
      </c>
      <c r="G325">
        <v>0.45814977973568299</v>
      </c>
      <c r="H325">
        <v>227</v>
      </c>
      <c r="I325">
        <v>16.877753303964798</v>
      </c>
      <c r="J325">
        <v>2696400</v>
      </c>
      <c r="K325">
        <v>2831160</v>
      </c>
      <c r="L325">
        <v>14683028.458187399</v>
      </c>
      <c r="M325">
        <v>-11851868.458187399</v>
      </c>
      <c r="P325">
        <f t="shared" si="10"/>
        <v>9.8796894891912803</v>
      </c>
      <c r="Q325">
        <f t="shared" si="11"/>
        <v>6.9980638147735181</v>
      </c>
      <c r="T325" s="2">
        <v>300</v>
      </c>
      <c r="U325" s="2">
        <v>7734481.8515332546</v>
      </c>
      <c r="V325" s="2">
        <v>-2752815.1848665848</v>
      </c>
      <c r="W325" s="2">
        <v>-0.37475949010994702</v>
      </c>
    </row>
    <row r="326" spans="1:23" x14ac:dyDescent="0.35">
      <c r="A326" t="s">
        <v>337</v>
      </c>
      <c r="B326">
        <v>3.3299798792756499</v>
      </c>
      <c r="C326">
        <v>2.4245472837022102</v>
      </c>
      <c r="D326">
        <v>0.77062374245472798</v>
      </c>
      <c r="E326">
        <v>0.41649899396378298</v>
      </c>
      <c r="F326">
        <v>0.30382293762575502</v>
      </c>
      <c r="G326">
        <v>0.52515090543259602</v>
      </c>
      <c r="H326">
        <v>497</v>
      </c>
      <c r="I326">
        <v>5.8284708249496999</v>
      </c>
      <c r="J326">
        <v>1782621</v>
      </c>
      <c r="K326">
        <v>1237767.33333333</v>
      </c>
      <c r="L326">
        <v>429903.61573414801</v>
      </c>
      <c r="M326">
        <v>807863.71759918495</v>
      </c>
      <c r="P326">
        <f t="shared" si="10"/>
        <v>9.1411671710814186</v>
      </c>
      <c r="Q326">
        <f t="shared" si="11"/>
        <v>-3.3126963461317187</v>
      </c>
      <c r="T326" s="2">
        <v>301</v>
      </c>
      <c r="U326" s="2">
        <v>6448440.0212565511</v>
      </c>
      <c r="V326" s="2">
        <v>1528453.6454101186</v>
      </c>
      <c r="W326" s="2">
        <v>0.20807881036094569</v>
      </c>
    </row>
    <row r="327" spans="1:23" x14ac:dyDescent="0.35">
      <c r="A327" t="s">
        <v>338</v>
      </c>
      <c r="B327">
        <v>6.6074074074074103</v>
      </c>
      <c r="C327">
        <v>3.8925925925925902</v>
      </c>
      <c r="D327">
        <v>1.4537037037036999</v>
      </c>
      <c r="E327">
        <v>1.1018518518518501</v>
      </c>
      <c r="F327">
        <v>0.55370370370370403</v>
      </c>
      <c r="G327">
        <v>0.34629629629629599</v>
      </c>
      <c r="H327">
        <v>543</v>
      </c>
      <c r="I327">
        <v>9.87240740740741</v>
      </c>
      <c r="J327">
        <v>7350000</v>
      </c>
      <c r="K327">
        <v>5016666.6666666698</v>
      </c>
      <c r="L327">
        <v>5646417.2739017103</v>
      </c>
      <c r="M327">
        <v>-629750.60723504703</v>
      </c>
      <c r="P327">
        <f t="shared" si="10"/>
        <v>10.892651004250691</v>
      </c>
      <c r="Q327">
        <f t="shared" si="11"/>
        <v>-1.0202435968432813</v>
      </c>
      <c r="T327" s="2">
        <v>302</v>
      </c>
      <c r="U327" s="2">
        <v>3762107.3268427998</v>
      </c>
      <c r="V327" s="2">
        <v>-2428773.9935094696</v>
      </c>
      <c r="W327" s="2">
        <v>-0.33064555455945788</v>
      </c>
    </row>
    <row r="328" spans="1:23" x14ac:dyDescent="0.35">
      <c r="A328" t="s">
        <v>339</v>
      </c>
      <c r="B328">
        <v>19.7786458333333</v>
      </c>
      <c r="C328">
        <v>3.8645833333333299</v>
      </c>
      <c r="D328">
        <v>3.703125</v>
      </c>
      <c r="E328">
        <v>2.5221354166666701</v>
      </c>
      <c r="F328">
        <v>0.26692708333333298</v>
      </c>
      <c r="G328">
        <v>0.83984375</v>
      </c>
      <c r="H328">
        <v>770</v>
      </c>
      <c r="I328">
        <v>21.474479166666701</v>
      </c>
      <c r="J328">
        <v>37096500</v>
      </c>
      <c r="K328">
        <v>40064220</v>
      </c>
      <c r="L328">
        <v>20612617.796866801</v>
      </c>
      <c r="M328">
        <v>19451602.203133199</v>
      </c>
      <c r="P328">
        <f t="shared" si="10"/>
        <v>27.136858018181297</v>
      </c>
      <c r="Q328">
        <f t="shared" si="11"/>
        <v>-5.6623788515145961</v>
      </c>
      <c r="T328" s="2">
        <v>303</v>
      </c>
      <c r="U328" s="2">
        <v>12983016.13609471</v>
      </c>
      <c r="V328" s="2">
        <v>10222204.86390529</v>
      </c>
      <c r="W328" s="2">
        <v>1.391618407097035</v>
      </c>
    </row>
    <row r="329" spans="1:23" x14ac:dyDescent="0.35">
      <c r="A329" t="s">
        <v>340</v>
      </c>
      <c r="B329">
        <v>2.96875</v>
      </c>
      <c r="C329">
        <v>1.61666666666667</v>
      </c>
      <c r="D329">
        <v>0.30625000000000002</v>
      </c>
      <c r="E329">
        <v>0.30625000000000002</v>
      </c>
      <c r="F329">
        <v>0.32500000000000001</v>
      </c>
      <c r="G329">
        <v>0.235416666666667</v>
      </c>
      <c r="H329">
        <v>480</v>
      </c>
      <c r="I329">
        <v>4.2334375</v>
      </c>
      <c r="J329">
        <v>2617800</v>
      </c>
      <c r="K329">
        <v>4386525.3333333302</v>
      </c>
      <c r="L329">
        <v>-1627624.4772943801</v>
      </c>
      <c r="M329">
        <v>6014149.8106277101</v>
      </c>
      <c r="P329">
        <f t="shared" si="10"/>
        <v>10.600586500650504</v>
      </c>
      <c r="Q329">
        <f t="shared" si="11"/>
        <v>-6.367149000650504</v>
      </c>
      <c r="T329" s="2">
        <v>304</v>
      </c>
      <c r="U329" s="2">
        <v>3519883.7442802731</v>
      </c>
      <c r="V329" s="2">
        <v>-2863825.4109469401</v>
      </c>
      <c r="W329" s="2">
        <v>-0.38987206866282947</v>
      </c>
    </row>
    <row r="330" spans="1:23" x14ac:dyDescent="0.35">
      <c r="A330" t="s">
        <v>341</v>
      </c>
      <c r="B330">
        <v>7.1186943620178003</v>
      </c>
      <c r="C330">
        <v>2.5459940652819002</v>
      </c>
      <c r="D330">
        <v>0.96439169139465897</v>
      </c>
      <c r="E330">
        <v>0.81899109792284897</v>
      </c>
      <c r="F330">
        <v>0.24629080118694399</v>
      </c>
      <c r="G330">
        <v>0.64985163204747798</v>
      </c>
      <c r="H330">
        <v>337</v>
      </c>
      <c r="I330">
        <v>8.8268545994065306</v>
      </c>
      <c r="J330">
        <v>4591680</v>
      </c>
      <c r="K330">
        <v>5178295</v>
      </c>
      <c r="L330">
        <v>4297696.69135556</v>
      </c>
      <c r="M330">
        <v>880598.30864443595</v>
      </c>
      <c r="P330">
        <f t="shared" si="10"/>
        <v>10.967564196649946</v>
      </c>
      <c r="Q330">
        <f t="shared" si="11"/>
        <v>-2.1407095972434149</v>
      </c>
      <c r="T330" s="2">
        <v>305</v>
      </c>
      <c r="U330" s="2">
        <v>16756086.193775928</v>
      </c>
      <c r="V330" s="2">
        <v>8878313.8062240724</v>
      </c>
      <c r="W330" s="2">
        <v>1.2086653595010195</v>
      </c>
    </row>
    <row r="331" spans="1:23" x14ac:dyDescent="0.35">
      <c r="A331" t="s">
        <v>342</v>
      </c>
      <c r="B331">
        <v>21.820338983050799</v>
      </c>
      <c r="C331">
        <v>5.9728813559322003</v>
      </c>
      <c r="D331">
        <v>3.7864406779661</v>
      </c>
      <c r="E331">
        <v>2.49830508474576</v>
      </c>
      <c r="F331">
        <v>0.57627118644067798</v>
      </c>
      <c r="G331">
        <v>0.95932203389830495</v>
      </c>
      <c r="H331">
        <v>295</v>
      </c>
      <c r="I331">
        <v>25.216440677966101</v>
      </c>
      <c r="J331">
        <v>13534817</v>
      </c>
      <c r="K331">
        <v>27738272.333333299</v>
      </c>
      <c r="L331">
        <v>25439595.899517301</v>
      </c>
      <c r="M331">
        <v>2298676.4338160101</v>
      </c>
      <c r="P331">
        <f t="shared" si="10"/>
        <v>21.423898724392966</v>
      </c>
      <c r="Q331">
        <f t="shared" si="11"/>
        <v>3.7925419535731351</v>
      </c>
      <c r="T331" s="2">
        <v>306</v>
      </c>
      <c r="U331" s="2">
        <v>-1621766.530476924</v>
      </c>
      <c r="V331" s="2">
        <v>2300539.197143591</v>
      </c>
      <c r="W331" s="2">
        <v>0.31318807787717978</v>
      </c>
    </row>
    <row r="332" spans="1:23" x14ac:dyDescent="0.35">
      <c r="T332" s="2">
        <v>307</v>
      </c>
      <c r="U332" s="2">
        <v>2479036.4493315071</v>
      </c>
      <c r="V332" s="2">
        <v>-771719.44933150709</v>
      </c>
      <c r="W332" s="2">
        <v>-0.10505942750145837</v>
      </c>
    </row>
    <row r="333" spans="1:23" x14ac:dyDescent="0.35">
      <c r="T333" s="2">
        <v>308</v>
      </c>
      <c r="U333" s="2">
        <v>29628694.569893479</v>
      </c>
      <c r="V333" s="2">
        <v>10435525.430106521</v>
      </c>
      <c r="W333" s="2">
        <v>1.4206591894419685</v>
      </c>
    </row>
    <row r="334" spans="1:23" x14ac:dyDescent="0.35">
      <c r="T334" s="2">
        <v>309</v>
      </c>
      <c r="U334" s="2">
        <v>8836572.4368581884</v>
      </c>
      <c r="V334" s="2">
        <v>-8242365.4368581884</v>
      </c>
      <c r="W334" s="2">
        <v>-1.1220893743240992</v>
      </c>
    </row>
    <row r="335" spans="1:23" x14ac:dyDescent="0.35">
      <c r="T335" s="2">
        <v>310</v>
      </c>
      <c r="U335" s="2">
        <v>4461069.9533898961</v>
      </c>
      <c r="V335" s="2">
        <v>-745745.62005656585</v>
      </c>
      <c r="W335" s="2">
        <v>-0.1015234331242145</v>
      </c>
    </row>
    <row r="336" spans="1:23" x14ac:dyDescent="0.35">
      <c r="T336" s="2">
        <v>311</v>
      </c>
      <c r="U336" s="2">
        <v>4201076.3537394218</v>
      </c>
      <c r="V336" s="2">
        <v>-2405005.687072752</v>
      </c>
      <c r="W336" s="2">
        <v>-0.32740981303566469</v>
      </c>
    </row>
    <row r="337" spans="20:23" x14ac:dyDescent="0.35">
      <c r="T337" s="2">
        <v>312</v>
      </c>
      <c r="U337" s="2">
        <v>-2125302.3344542468</v>
      </c>
      <c r="V337" s="2">
        <v>2404932.6677875798</v>
      </c>
      <c r="W337" s="2">
        <v>0.32739987242278601</v>
      </c>
    </row>
    <row r="338" spans="20:23" x14ac:dyDescent="0.35">
      <c r="T338" s="2">
        <v>313</v>
      </c>
      <c r="U338" s="2">
        <v>4931472.6739464775</v>
      </c>
      <c r="V338" s="2">
        <v>-4056472.6739464775</v>
      </c>
      <c r="W338" s="2">
        <v>-0.55223526784156118</v>
      </c>
    </row>
    <row r="339" spans="20:23" x14ac:dyDescent="0.35">
      <c r="T339" s="2">
        <v>314</v>
      </c>
      <c r="U339" s="2">
        <v>8839759.2679185048</v>
      </c>
      <c r="V339" s="2">
        <v>-8834192.6012518387</v>
      </c>
      <c r="W339" s="2">
        <v>-1.2026588392052402</v>
      </c>
    </row>
    <row r="340" spans="20:23" x14ac:dyDescent="0.35">
      <c r="T340" s="2">
        <v>315</v>
      </c>
      <c r="U340" s="2">
        <v>4692313.1853390448</v>
      </c>
      <c r="V340" s="2">
        <v>-2528746.518672375</v>
      </c>
      <c r="W340" s="2">
        <v>-0.34425549567029567</v>
      </c>
    </row>
    <row r="341" spans="20:23" x14ac:dyDescent="0.35">
      <c r="T341" s="2">
        <v>316</v>
      </c>
      <c r="U341" s="2">
        <v>17288550.209932521</v>
      </c>
      <c r="V341" s="2">
        <v>3285488.4567341805</v>
      </c>
      <c r="W341" s="2">
        <v>0.44727593249871278</v>
      </c>
    </row>
    <row r="342" spans="20:23" x14ac:dyDescent="0.35">
      <c r="T342" s="2">
        <v>317</v>
      </c>
      <c r="U342" s="2">
        <v>25487014.275297776</v>
      </c>
      <c r="V342" s="2">
        <v>-19481693.941964447</v>
      </c>
      <c r="W342" s="2">
        <v>-2.6521757538628514</v>
      </c>
    </row>
    <row r="343" spans="20:23" x14ac:dyDescent="0.35">
      <c r="T343" s="2">
        <v>318</v>
      </c>
      <c r="U343" s="2">
        <v>874486.89643204026</v>
      </c>
      <c r="V343" s="2">
        <v>38061.436901292764</v>
      </c>
      <c r="W343" s="2">
        <v>5.1815627741357787E-3</v>
      </c>
    </row>
    <row r="344" spans="20:23" x14ac:dyDescent="0.35">
      <c r="T344" s="2">
        <v>319</v>
      </c>
      <c r="U344" s="2">
        <v>20200432.687304661</v>
      </c>
      <c r="V344" s="2">
        <v>-15756970.020637991</v>
      </c>
      <c r="W344" s="2">
        <v>-2.1451037044094932</v>
      </c>
    </row>
    <row r="345" spans="20:23" x14ac:dyDescent="0.35">
      <c r="T345" s="2">
        <v>320</v>
      </c>
      <c r="U345" s="2">
        <v>7150423.6494776718</v>
      </c>
      <c r="V345" s="2">
        <v>2516243.0171889979</v>
      </c>
      <c r="W345" s="2">
        <v>0.34255330880854806</v>
      </c>
    </row>
    <row r="346" spans="20:23" x14ac:dyDescent="0.35">
      <c r="T346" s="2">
        <v>321</v>
      </c>
      <c r="U346" s="2">
        <v>689546.1364527531</v>
      </c>
      <c r="V346" s="2">
        <v>1106524.5302139169</v>
      </c>
      <c r="W346" s="2">
        <v>0.15063872468329675</v>
      </c>
    </row>
    <row r="347" spans="20:23" x14ac:dyDescent="0.35">
      <c r="T347" s="2">
        <v>322</v>
      </c>
      <c r="U347" s="2">
        <v>-3573995.1021541902</v>
      </c>
      <c r="V347" s="2">
        <v>5845769.7688208595</v>
      </c>
      <c r="W347" s="2">
        <v>0.79582447448960258</v>
      </c>
    </row>
    <row r="348" spans="20:23" x14ac:dyDescent="0.35">
      <c r="T348" s="2">
        <v>323</v>
      </c>
      <c r="U348" s="2">
        <v>14684587.948646126</v>
      </c>
      <c r="V348" s="2">
        <v>-11853427.948646126</v>
      </c>
      <c r="W348" s="2">
        <v>-1.6136879215539883</v>
      </c>
    </row>
    <row r="349" spans="20:23" x14ac:dyDescent="0.35">
      <c r="T349" s="2">
        <v>324</v>
      </c>
      <c r="U349" s="2">
        <v>435887.86030193605</v>
      </c>
      <c r="V349" s="2">
        <v>801879.47303139395</v>
      </c>
      <c r="W349" s="2">
        <v>0.10916531705249312</v>
      </c>
    </row>
    <row r="350" spans="20:23" x14ac:dyDescent="0.35">
      <c r="T350" s="2">
        <v>325</v>
      </c>
      <c r="U350" s="2">
        <v>5650782.0988334902</v>
      </c>
      <c r="V350" s="2">
        <v>-634115.43216682039</v>
      </c>
      <c r="W350" s="2">
        <v>-8.6326454945504658E-2</v>
      </c>
    </row>
    <row r="351" spans="20:23" x14ac:dyDescent="0.35">
      <c r="T351" s="2">
        <v>326</v>
      </c>
      <c r="U351" s="2">
        <v>20612336.499773122</v>
      </c>
      <c r="V351" s="2">
        <v>19451883.500226878</v>
      </c>
      <c r="W351" s="2">
        <v>2.6481174552865649</v>
      </c>
    </row>
    <row r="352" spans="20:23" x14ac:dyDescent="0.35">
      <c r="T352" s="2">
        <v>327</v>
      </c>
      <c r="U352" s="2">
        <v>-1621001.4916796368</v>
      </c>
      <c r="V352" s="2">
        <v>6007526.825012967</v>
      </c>
      <c r="W352" s="2">
        <v>0.8178455648386731</v>
      </c>
    </row>
    <row r="353" spans="20:23" x14ac:dyDescent="0.35">
      <c r="T353" s="2">
        <v>328</v>
      </c>
      <c r="U353" s="2">
        <v>4302480.214432884</v>
      </c>
      <c r="V353" s="2">
        <v>875814.78556711599</v>
      </c>
      <c r="W353" s="2">
        <v>0.11923063497842197</v>
      </c>
    </row>
    <row r="354" spans="20:23" ht="15" thickBot="1" x14ac:dyDescent="0.4">
      <c r="T354" s="3">
        <v>329</v>
      </c>
      <c r="U354" s="3">
        <v>25437816.110588983</v>
      </c>
      <c r="V354" s="3">
        <v>2300456.2227443159</v>
      </c>
      <c r="W354" s="3">
        <v>0.31317678200677934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PlayerStatistics_final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ryanjskim01@gmail.com</cp:lastModifiedBy>
  <dcterms:created xsi:type="dcterms:W3CDTF">2026-03-13T05:00:47Z</dcterms:created>
  <dcterms:modified xsi:type="dcterms:W3CDTF">2026-03-13T05:06:36Z</dcterms:modified>
</cp:coreProperties>
</file>